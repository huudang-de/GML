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ông việc\1. Dự án Gỗ Minh Long\5. Kiểm thử\UAT\"/>
    </mc:Choice>
  </mc:AlternateContent>
  <xr:revisionPtr revIDLastSave="0" documentId="13_ncr:1_{1FE47622-83FE-484D-AE9F-61543A79C4D3}" xr6:coauthVersionLast="47" xr6:coauthVersionMax="47" xr10:uidLastSave="{00000000-0000-0000-0000-000000000000}"/>
  <bookViews>
    <workbookView xWindow="-23148" yWindow="-1428" windowWidth="23256" windowHeight="12456" activeTab="1" xr2:uid="{00000000-000D-0000-FFFF-FFFF00000000}"/>
  </bookViews>
  <sheets>
    <sheet name="1. Tổng quan" sheetId="1" r:id="rId1"/>
    <sheet name="2.UAT" sheetId="2" r:id="rId2"/>
    <sheet name="3.Tổng kết" sheetId="3" r:id="rId3"/>
  </sheets>
  <calcPr calcId="0"/>
</workbook>
</file>

<file path=xl/sharedStrings.xml><?xml version="1.0" encoding="utf-8"?>
<sst xmlns="http://schemas.openxmlformats.org/spreadsheetml/2006/main" count="366" uniqueCount="188">
  <si>
    <t>Report Name</t>
  </si>
  <si>
    <t>Tổng test case</t>
  </si>
  <si>
    <t>Mục</t>
  </si>
  <si>
    <t>Visual / Card Name</t>
  </si>
  <si>
    <t>Visual Type</t>
  </si>
  <si>
    <t>KPI / Field Name</t>
  </si>
  <si>
    <t>DM Table &amp; Measure</t>
  </si>
  <si>
    <t>Thông tin</t>
  </si>
  <si>
    <t>DWH Source Table</t>
  </si>
  <si>
    <t>Source System</t>
  </si>
  <si>
    <t>Tên dự án</t>
  </si>
  <si>
    <t>SQL Test Script Name</t>
  </si>
  <si>
    <t>Pass</t>
  </si>
  <si>
    <t>Báo cáo quản trị doanh nghiệp</t>
  </si>
  <si>
    <t>Fail</t>
  </si>
  <si>
    <t>Module kiểm thử</t>
  </si>
  <si>
    <t>Expected Result</t>
  </si>
  <si>
    <t>ETL &amp; Xử lý dữ liệu từ MISA và Excel</t>
  </si>
  <si>
    <t>Blocked</t>
  </si>
  <si>
    <t>Tester</t>
  </si>
  <si>
    <t>Nguyễn Đăng Khoa
Đỗ Hoàng Hiệp</t>
  </si>
  <si>
    <t>Actual Result</t>
  </si>
  <si>
    <t>Ngày kiểm thử</t>
  </si>
  <si>
    <t>Variance</t>
  </si>
  <si>
    <t>Owner</t>
  </si>
  <si>
    <t xml:space="preserve"> </t>
  </si>
  <si>
    <t>Filter Context</t>
  </si>
  <si>
    <t>Nguồn dữ liệu</t>
  </si>
  <si>
    <t xml:space="preserve">Quản trị Tiền gửi và thanh khoản </t>
  </si>
  <si>
    <t>MISA (Đơn hàng, doanh thu, nợ...)</t>
  </si>
  <si>
    <t xml:space="preserve">Tiền và các khoản tương đương tiền </t>
  </si>
  <si>
    <t>Excel (KPI Month, Tiền vay, Tiền gửi, ...)</t>
  </si>
  <si>
    <t>Card</t>
  </si>
  <si>
    <t>_TienGui&amp;ThanhKhoan[Tien_TuongDuongTien]</t>
  </si>
  <si>
    <t>silver fact_balancesheet</t>
  </si>
  <si>
    <t>B01 DN Bao cao tinh hinh tai chinh</t>
  </si>
  <si>
    <t>SELECT ending_balance
FROM silver.fact_balancesheet
WHERE indicator_code = 'B01-DN_110'
  AND reporting_date = '2026-01-31';</t>
  </si>
  <si>
    <t>44307843412.00</t>
  </si>
  <si>
    <t>Khoa</t>
  </si>
  <si>
    <t>FILTER:
THỜI GIAN: Tháng 1 2026
NGÂN HÀNG : All</t>
  </si>
  <si>
    <t xml:space="preserve">Tiền gửi </t>
  </si>
  <si>
    <t>silver fact_termdeposit[remaining_value]</t>
  </si>
  <si>
    <t>silver fact_termdeposit</t>
  </si>
  <si>
    <t>Hợp đồng tiền gửi.xlsm</t>
  </si>
  <si>
    <t>SELECT 
    SUM(original_amount) AS total_original_amount,
    SUM(remaining_value) AS total_remaining_value
FROM silver.fact_termdeposit
WHERE deposit_date &gt;= '2025-04-01' 
  AND deposit_date &lt;= '2025-04-30';</t>
  </si>
  <si>
    <t>19000000000.00</t>
  </si>
  <si>
    <t>FILTER:
THỜI GIAN: Tháng 4 2025
NGÂN HÀNG : All</t>
  </si>
  <si>
    <t xml:space="preserve">Số lượng hợp đồng tiền gửi </t>
  </si>
  <si>
    <t>_TienGui&amp;ThanhKhoan[So_HD_Theo_Ngan_Hang]</t>
  </si>
  <si>
    <t>SELECT 
    COUNT(*) AS total_contracts,
    COUNT(CASE WHEN remaining_value &gt; 0 THEN 1 END) AS active_contracts
FROM silver.fact_termdeposit
WHERE deposit_date &gt;= '2025-04-01' 
  AND deposit_date &lt;= '2025-04-30';</t>
  </si>
  <si>
    <t>Lãi suất bình quân</t>
  </si>
  <si>
    <t>_TienGui&amp;ThanhKhoan[Lai_Suat_BQ]</t>
  </si>
  <si>
    <t>SELECT 
    ROUND(
        (SUM(original_amount * interest_rate) / SUM(original_amount) * 100)::numeric, 
        2
    ) AS Lai_Suat_BQ_Percent
FROM silver.fact_termdeposit
WHERE remaining_value &gt; 0;</t>
  </si>
  <si>
    <t>FILTER:
THỜI GIAN: All
NGÂN HÀNG : All</t>
  </si>
  <si>
    <t>Thu nhập lãi</t>
  </si>
  <si>
    <t>_TienGui&amp;ThanhKhoan[Tong_Dedit_Account_515]</t>
  </si>
  <si>
    <t>silver fact_cashflow</t>
  </si>
  <si>
    <t>So_chi_tiet_cac_tai_khoan</t>
  </si>
  <si>
    <t>SELECT 
    SUM(debit_amount) AS Tong_Dedit_Account_515
FROM silver.fact_cashflow
WHERE reciprocal_account = '515';</t>
  </si>
  <si>
    <t>1385946181.00</t>
  </si>
  <si>
    <t>Quản trị Phải thu  Phải trả</t>
  </si>
  <si>
    <t>Giá trị phải thu</t>
  </si>
  <si>
    <t>_PhaiThuPhaiTra[DuNo_PhaiThu]</t>
  </si>
  <si>
    <t>silver fact_accountsreceivable</t>
  </si>
  <si>
    <t>Chi_tiet_cong_no_phai_thu_khach_hang</t>
  </si>
  <si>
    <t>SELECT 
    partner_code,
    posting_date,
    id,
    ending_debit_balance AS DuNo_PhaiThu
FROM silver.fact_accountsreceivable
WHERE partner_code = '0106807474'
ORDER BY 
    posting_date DESC, 
    id DESC
LIMIT 1;</t>
  </si>
  <si>
    <t>1367477.00</t>
  </si>
  <si>
    <t>FILTER:
THỜI GIAN: All
Khách hàng : Công ty Cổ Phần Đầu Tư Xây Dựng Và Kiến Trúc HOME4U</t>
  </si>
  <si>
    <t>Vòng quay phải thu hiện tại</t>
  </si>
  <si>
    <t>_PhaiThuPhaiTra[VongQuay_PhaiThu_HienTai]</t>
  </si>
  <si>
    <t xml:space="preserve"> silver fact_incomestatement
 silver fact_accountsreceivable</t>
  </si>
  <si>
    <t xml:space="preserve"> B02 DN Bao cao ket qua hoat dong kinh doanh
 Chi_tiet_cong_no_phai_thu_khach_hang</t>
  </si>
  <si>
    <t>WITH DoanhThu AS (
    -- 1. Tính Tổng Doanh thu thuần (B02-DN_10)
    SELECT 
        COALESCE(SUM(current_period_amount), 0) AS tong_doanh_thu
    FROM silver.fact_incomestatement
    WHERE indicator_code = 'B02-DN_10'
),
RankedReceivable AS (
    -- 2. Lấy snapshot dư nợ mới nhất của từng khách hàng
    SELECT 
        ar.partner_code,
        ar.ending_debit_balance,
        ROW_NUMBER() OVER (
            PARTITION BY ar.partner_code 
            ORDER BY ar.posting_date DESC, ar.id DESC
        ) AS rn
    FROM silver.fact_accountsreceivable ar
    INNER JOIN silver.dim_partner p 
        ON ar.partner_code = p.partner_code
    WHERE p.partner_group IN ('Khách hàng', 'Khách hàng/ nhà cung cấp')
),
DuNo AS (
    -- 3. Tính Tổng Dư nợ phải thu của tất cả khách hàng
    SELECT 
        COALESCE(SUM(ending_debit_balance), 0) AS tong_du_no
    FROM RankedReceivable
    WHERE rn = 1
)
-- 4. Tính Vòng quay khoản phải thu hiện tại (Doanh thu / Dư nợ)
SELECT 
    dt.tong_doanh_thu,
    dn.tong_du_no,
    CASE 
        WHEN dn.tong_du_no = 0 THEN 0 
        ELSE ROUND(dt.tong_doanh_thu / dn.tong_du_no, 4)
    END AS VongQuay_PhaiThu_HienTai
FROM DoanhThu dt
CROSS JOIN DuNo dn;</t>
  </si>
  <si>
    <t>5.0542</t>
  </si>
  <si>
    <t>Tổng khách hàng nợ</t>
  </si>
  <si>
    <t>_PhaiThuPhaiTra[Tong_KH_No]</t>
  </si>
  <si>
    <t>WITH RankedReceivable AS (
    SELECT 
        ar.partner_code,
        ar.ending_debit_balance,
        ROW_NUMBER() OVER (
            PARTITION BY ar.partner_code 
            ORDER BY ar.posting_date DESC, ar.id DESC
        ) AS rn
    FROM silver.fact_accountsreceivable ar
    INNER JOIN silver.dim_partner p 
        ON ar.partner_code = p.partner_code
    WHERE p.partner_group IN ('Khách hàng', 'Khách hàng/ nhà cung cấp')
)
SELECT 
    COUNT(DISTINCT partner_code) AS Tong_KH_No
FROM RankedReceivable
WHERE rn = 1 
  AND ending_debit_balance &gt; 0;</t>
  </si>
  <si>
    <t>Giá trị phải trả</t>
  </si>
  <si>
    <t>_PhaiThuPhaiTra[DuCo_PhaiTra]</t>
  </si>
  <si>
    <t>silver fact_accountspayable</t>
  </si>
  <si>
    <t>Chi_tiet_cong_no_phai_tra_nha_cung_cap</t>
  </si>
  <si>
    <t>WITH RankedPayable AS (
    SELECT 
        ap.partner_code,
        ap.ending_credit_balance,
        ROW_NUMBER() OVER (
            PARTITION BY ap.partner_code 
            ORDER BY ap.posting_date DESC, ap.id DESC
        ) AS rn
    FROM silver.fact_accountspayable ap
    INNER JOIN silver.dim_partner p 
        ON ap.partner_code = p.partner_code
    WHERE p.partner_group IN ('Nhà cung cấp', 'Khách hàng/ nhà cung cấp')
      AND ap.posting_date &lt;= '2026-05-31' -- &lt;--- Thay đúng Max Date của Dim_Date trên Power BI
)
SELECT 
    COALESCE(SUM(ending_credit_balance), 0) AS DuCo_PhaiTra
FROM RankedPayable
WHERE rn = 1;</t>
  </si>
  <si>
    <t>48497568868.81</t>
  </si>
  <si>
    <t>Vòng quay phải thu theo năm</t>
  </si>
  <si>
    <t>_PhaiThuPhaiTra[VongQuay_PhaiThu_TheoNam]</t>
  </si>
  <si>
    <t>" silver fact_incomestatement
 silver fact_accountsreceivable"</t>
  </si>
  <si>
    <t>WITH MaxDate AS (
    -- Lấy ngày phát sinh cuối cùng trong toàn bộ hệ thống
    SELECT MAX(posting_date) AS ngay_chot_hien_tai
    FROM silver.fact_accountsreceivable
),
Dates AS (
    SELECT 
        ngay_chot_hien_tai,
        (ngay_chot_hien_tai - INTERVAL '1 year')::date AS ngay_chot_nam_ngoai
    FROM MaxDate
),
DoanhThu AS (
    -- 1. Doanh thu thuần (B02-DN_10)
    SELECT COALESCE(SUM(current_period_amount), 0) AS tong_doanh_thu
    FROM silver.fact_incomestatement
    WHERE indicator_code = 'B02-DN_10'
),
-- 2. Snapshot Dư nợ Hiện tại (rn = 1)
RankedCurrent AS (
    SELECT 
        ar.partner_code,
        ar.ending_debit_balance,
        ROW_NUMBER() OVER (
            PARTITION BY ar.partner_code 
            ORDER BY ar.posting_date DESC, ar.id DESC
        ) AS rn
    FROM silver.fact_accountsreceivable ar
    INNER JOIN silver.dim_partner p ON ar.partner_code = p.partner_code
    CROSS JOIN Dates d
    WHERE p.partner_group IN ('Khách hàng', 'Khách hàng/ nhà cung cấp')
      AND ar.posting_date &lt;= d.ngay_chot_hien_tai
),
DuNoHienTai AS (
    SELECT COALESCE(SUM(ending_debit_balance), 0) AS duno_hien_tai
    FROM RankedCurrent WHERE rn = 1
),
-- 3. Snapshot Dư nợ Năm ngoái (rn = 1)
RankedPrior AS (
    SELECT 
        ar.partner_code,
        ar.ending_debit_balance,
        ROW_NUMBER() OVER (
            PARTITION BY ar.partner_code 
            ORDER BY ar.posting_date DESC, ar.id DESC
        ) AS rn
    FROM silver.fact_accountsreceivable ar
    INNER JOIN silver.dim_partner p ON ar.partner_code = p.partner_code
    CROSS JOIN Dates d
    WHERE p.partner_group IN ('Khách hàng', 'Khách hàng/ nhà cung cấp')
      AND ar.posting_date &lt;= d.ngay_chot_nam_ngoai
),
DuNoNamNgoai AS (
    SELECT COALESCE(SUM(ending_debit_balance), 0) AS duno_nam_ngoai
    FROM RankedPrior WHERE rn = 1
)
-- 4. Tính toán Vòng quay bình quân năm
SELECT 
    dt.tong_doanh_thu,
    curr.duno_hien_tai,
    prio.duno_nam_ngoai,
    (curr.duno_hien_tai + prio.duno_nam_ngoai) / 2.0 AS duno_binh_quan,
    CASE 
        WHEN (curr.duno_hien_tai + prio.duno_nam_ngoai) = 0 THEN 0
        ELSE ROUND(dt.tong_doanh_thu / ((curr.duno_hien_tai + prio.duno_nam_ngoai) / 2.0), 4)
    END AS VongQuay_PhaiThu_TheoNam
FROM DoanhThu dt
CROSS JOIN DuNoHienTai curr
CROSS JOIN DuNoNamNgoai prio;</t>
  </si>
  <si>
    <t>Tổng hóa đơn</t>
  </si>
  <si>
    <t>_PhaiThuPhaiTra[Tong_HoaDon]</t>
  </si>
  <si>
    <t>SELECT 
    COUNT(DISTINCT invoice_no) AS tong_hoadon_thang_4_2026
FROM silver.fact_accountsreceivable
WHERE debit_amount &gt; 0
  AND posting_date &gt;= '2026-04-01' 
  AND posting_date &lt;= '2026-04-30';</t>
  </si>
  <si>
    <t>FILTER:
THỜI GIAN: tháng 4 2026
NGÂN HÀNG : All</t>
  </si>
  <si>
    <t xml:space="preserve">Quản trị dòng tiền </t>
  </si>
  <si>
    <t>Dòng tiền ra</t>
  </si>
  <si>
    <t>_HoatDongTaiChinh[DongTien_Chi]</t>
  </si>
  <si>
    <t>WITH CTNB_TheoTen AS (
    -- Bước 1: Danh sách chứng từ bắt đầu bằng CTNB
    SELECT DISTINCT voucher_no
    FROM silver.fact_cashflow
    WHERE LEFT(voucher_no, 4) = 'CTNB'
),
CTNB_DoiUng_Tien AS (
    -- Bước 2: Tìm các chứng từ chuyển tiền nội bộ (111 &lt;-&gt; 112)
    SELECT voucher_no
    FROM silver.fact_cashflow
    WHERE LEFT(account_no, 3) IN ('111', '112')
    GROUP BY voucher_no
    HAVING SUM(debit_amount) &gt; 0 
       AND SUM(debit_amount) = SUM(credit_amount)
),
DanhSach_ChungTu_NoiBo AS (
    -- Bước 3: Gộp danh sách chứng từ nội bộ cần loại trừ
    SELECT voucher_no FROM CTNB_TheoTen
    UNION
    SELECT voucher_no FROM CTNB_DoiUng_Tien
)
-- Bước 4: Tính tổng Dòng Tiền Chi trong Tháng 2/2026
SELECT 
    COALESCE(SUM(cf.credit_amount), 0) AS DongTien_Chi_T2_2026
FROM silver.fact_cashflow cf
LEFT JOIN DanhSach_ChungTu_NoiBo nb ON cf.voucher_no = nb.voucher_no
WHERE LEFT(cf.account_no, 3) IN ('111', '112')
  AND cf.posting_date &gt;= '2026-02-01'
  AND cf.posting_date &lt;= '2026-02-28'
  AND nb.voucher_no IS NULL; -- Loại bỏ hoàn toàn chứng từ thuộc danh sách nội bộ</t>
  </si>
  <si>
    <t>314528646659.00</t>
  </si>
  <si>
    <t>FILTER:
THỜI GIAN: tháng 2 2026
NGÂN HÀNG : All</t>
  </si>
  <si>
    <t>Dòng tiền vào</t>
  </si>
  <si>
    <t>_HoatDongTaiChinh[DongTien_Thu]</t>
  </si>
  <si>
    <t>WITH CTNB_TheoTen AS (
    -- Bước 1: Danh sách chứng từ bắt đầu bằng CTNB
    SELECT DISTINCT voucher_no
    FROM silver.fact_cashflow
    WHERE LEFT(voucher_no, 4) = 'CTNB'
),
CTNB_DoiUng_Tien AS (
    -- Bước 2: Tìm các chứng từ chuyển tiền nội bộ luân chuyển (111 &lt;-&gt; 112)
    SELECT voucher_no
    FROM silver.fact_cashflow
    WHERE LEFT(account_no, 3) IN ('111', '112')
    GROUP BY voucher_no
    HAVING SUM(debit_amount) &gt; 0 
       AND SUM(debit_amount) = SUM(credit_amount)
),
DanhSach_ChungTu_NoiBo AS (
    -- Bước 3: Gộp danh sách chứng từ nội bộ cần loại trừ
    SELECT voucher_no FROM CTNB_TheoTen
    UNION
    SELECT voucher_no FROM CTNB_DoiUng_Tien
)
-- Bước 4: Tính tổng Dòng Tiền Thu thực tế (Debit) trong Tháng 2/2026
SELECT 
    COALESCE(SUM(cf.debit_amount), 0) AS DongTien_Thu_T2_2026
FROM silver.fact_cashflow cf
LEFT JOIN DanhSach_ChungTu_NoiBo nb ON cf.voucher_no = nb.voucher_no
WHERE LEFT(cf.account_no, 3) IN ('111', '112')
  AND cf.posting_date &gt;= '2026-02-01'
  AND cf.posting_date &lt;= '2026-02-28'
  AND nb.voucher_no IS NULL; -- Loại bỏ hoàn toàn chứng từ thuộc danh sách nội bộ</t>
  </si>
  <si>
    <t>252584028598.00</t>
  </si>
  <si>
    <t>Số dư</t>
  </si>
  <si>
    <t>_DongTien[SoDu_TienMat]</t>
  </si>
  <si>
    <t>WITH CTNB_TheoTen AS (
    SELECT DISTINCT voucher_no
    FROM silver.fact_cashflow
    WHERE LEFT(voucher_no, 4) = 'CTNB'
),
CTNB_DoiUng_Tien AS (
    SELECT voucher_no
    FROM silver.fact_cashflow
    WHERE LEFT(account_no, 3) IN ('111', '112')
    GROUP BY voucher_no
    HAVING SUM(debit_amount) &gt; 0 
       AND SUM(debit_amount) = SUM(credit_amount)
),
DanhSach_ChungTu_NoiBo AS (
    SELECT voucher_no FROM CTNB_TheoTen
    UNION
    SELECT voucher_no FROM CTNB_DoiUng_Tien
)
SELECT 
    COALESCE(SUM(cf.debit_amount), 0) AS DongTien_Thu,
    COALESCE(SUM(cf.credit_amount), 0) AS DongTien_Chi,
    -- Dòng tiền thuần (SoDu_TienMat theo công thức DAX hiện tại)
    COALESCE(SUM(cf.debit_amount), 0) - COALESCE(SUM(cf.credit_amount), 0) AS DongTien_Thuan_Thang2
FROM silver.fact_cashflow cf
LEFT JOIN DanhSach_ChungTu_NoiBo nb ON cf.voucher_no = nb.voucher_no
WHERE LEFT(cf.account_no, 3) IN ('111', '112')
  AND cf.posting_date &gt;= '2026-02-01'
  AND cf.posting_date &lt;= '2026-02-28'
  AND nb.voucher_no IS NULL;</t>
  </si>
  <si>
    <t>-61944618061.00</t>
  </si>
  <si>
    <t>Runway</t>
  </si>
  <si>
    <t>_DongTien[Runway]</t>
  </si>
  <si>
    <t xml:space="preserve"> silver fact_balancesheet
 silver fact_cashflow</t>
  </si>
  <si>
    <t xml:space="preserve"> B01 DN Bao cao tinh hinh tai chinh
 So_chi_tiet_cac_tai_khoan</t>
  </si>
  <si>
    <t>WITH CTNB_TheoTen AS (
    SELECT DISTINCT voucher_no
    FROM silver.fact_cashflow
    WHERE LEFT(voucher_no, 4) = 'CTNB'
),
CTNB_DoiUng_Tien AS (
    SELECT voucher_no
    FROM silver.fact_cashflow
    WHERE LEFT(account_no, 3) IN ('111', '112')
    GROUP BY voucher_no
    HAVING SUM(debit_amount) &gt; 0 
       AND SUM(debit_amount) = SUM(credit_amount)
),
DanhSach_ChungTu_NoiBo AS (
    SELECT voucher_no FROM CTNB_TheoTen
    UNION
    SELECT voucher_no FROM CTNB_DoiUng_Tien
),
Tien_TuongDuongTien AS (
    SELECT COALESCE(SUM(bs.ending_balance), 0) AS tien_cuoi_ky
    FROM silver.fact_balancesheet bs
    INNER JOIN silver.dim_reportitem ri ON bs.indicator_code = ri.item_id
    WHERE ri.item_id = 'B01-DN_110'
      AND bs.reporting_date = '2026-02-28'
),
DongTien_Chi AS (
    SELECT COALESCE(SUM(cf.credit_amount), 0) AS tong_chi_thang
    FROM silver.fact_cashflow cf
    LEFT JOIN DanhSach_ChungTu_NoiBo nb ON cf.voucher_no = nb.voucher_no
    WHERE LEFT(cf.account_no, 3) IN ('111', '112')
      AND cf.posting_date &gt;= '2026-02-01'
      AND cf.posting_date &lt;= '2026-02-28'
      AND nb.voucher_no IS NULL
)
SELECT 
    t.tien_cuoi_ky,
    c.tong_chi_thang,
    -- Trả về số thập phân dạng 0.0460 (tương ứng 4,6% trên Power BI)
    CASE 
        WHEN c.tong_chi_thang = 0 THEN 0
        ELSE ROUND(t.tien_cuoi_ky / c.tong_chi_thang, 4)
    END AS Runway_Value,
    -- Dạng hiển thị % trực tiếp trên SQL (4.6%)
    CASE 
        WHEN c.tong_chi_thang = 0 THEN '0%'
        ELSE ROUND((t.tien_cuoi_ky / c.tong_chi_thang) * 100, 1) || '%'
    END AS Runway_Percent
FROM Tien_TuongDuongTien t
CROSS JOIN DongTien_Chi c;</t>
  </si>
  <si>
    <t>4.6%</t>
  </si>
  <si>
    <t>Chu kì tiền mặt</t>
  </si>
  <si>
    <t>_DongTien[Chu_Ky_Tien_Mat]</t>
  </si>
  <si>
    <t xml:space="preserve"> silver fact_incomestatement
 silver fact_inventory_balance
 silver fact_inventoryinward
 silver fact_accountsreceivable
 silver fact_accountspayable</t>
  </si>
  <si>
    <t xml:space="preserve"> B02 DN Bao cao ket qua hoat dong kinh doanh
Tong_hop_ton_kho
 So_chi_tiet_mua_hang
 Chi_tiet_cong_no_phai_thu_khach_hang
 Chi_tiet_cong_no_phai_tra_nha_cung_cap</t>
  </si>
  <si>
    <t>WITH Target_Date AS (
    -- Ngày chốt báo cáo: 28/02/2026
    SELECT 
        '2026-02-28'::date AS vNgayChotBaoCao,
        2026 AS vYear
),
--------------------------------------------------------------------------------
-- 1. TÍNH DSO (SỐ NGÀY PHẢI THU)
--------------------------------------------------------------------------------
DSO_Calc AS (
    WITH Max_Revenue_Month AS (
        SELECT MAX(month) AS vNgayDoanhThuMax
        FROM silver.fact_incomestatement inc, Target_Date t
        WHERE inc.indicator_code = 'B02-DN_10'
          AND inc.month &lt;= t.vNgayChotBaoCao
    ),
    Revenue_YTD AS (
        SELECT COALESCE(MAX(ytd_amount), 0) AS vDoanhThuYTD
        FROM silver.fact_incomestatement inc, Max_Revenue_Month m
        WHERE inc.indicator_code = 'B02-DN_10'
          AND inc.month = m.vNgayDoanhThuMax
    ),
    AR_Balance AS (
        SELECT COALESCE(SUM(debit_amount) - SUM(credit_amount), 0) AS vDuNoPhaiThu
        FROM silver.fact_accountsreceivable ar, Max_Revenue_Month m
        WHERE ar.posting_date &lt;= m.vNgayDoanhThuMax
    )
    SELECT 
        r.vDoanhThuYTD,
        a.vDuNoPhaiThu,
        CASE 
            WHEN a.vDuNoPhaiThu = 0 OR r.vDoanhThuYTD = 0 THEN 0
            ELSE (365.0 / (r.vDoanhThuYTD / a.vDuNoPhaiThu))
        END AS dso_days
    FROM Revenue_YTD r CROSS JOIN AR_Balance a
),
--------------------------------------------------------------------------------
-- 2. TÍNH DIO (SỐ NGÀY HÀNG TỒN KHO)
--------------------------------------------------------------------------------
DIO_Calc AS (
    WITH COGS_YTD AS (
        SELECT COALESCE(SUM(inward_value), 0) AS vGiaVonYTD
        FROM silver.fact_inventoryinward inv, Target_Date t
        WHERE inv.posting_date &lt;= t.vNgayChotBaoCao
          AND EXTRACT(YEAR FROM inv.posting_date) = t.vYear
    ),
    -- Đã cập nhật đúng cột snapshot_date cho fact_inventory_balance
    Monthly_End_Dates AS (
        SELECT 
            EXTRACT(MONTH FROM snapshot_date) AS mth,
            MAX(snapshot_date) AS vNgayCuoiThang
        FROM silver.fact_inventory_balance ib, Target_Date t
        WHERE ib.snapshot_date &lt;= t.vNgayChotBaoCao
          AND EXTRACT(YEAR FROM ib.snapshot_date) = t.vYear
          AND ib.ending_value IS NOT NULL
        GROUP BY EXTRACT(MONTH FROM snapshot_date)
    ),
    Monthly_Inventory AS (
        SELECT 
            d.mth,
            SUM(ib.ending_value) AS monthly_ending_value
        FROM silver.fact_inventory_balance ib
        INNER JOIN Monthly_End_Dates d ON ib.snapshot_date = d.vNgayCuoiThang
        GROUP BY d.mth
    ),
    Avg_Inventory AS (
        SELECT COALESCE(AVG(monthly_ending_value), 0) AS vTonKhoTrungBinhYTD
        FROM Monthly_Inventory
    )
    SELECT 
        c.vGiaVonYTD,
        i.vTonKhoTrungBinhYTD,
        CASE 
            WHEN i.vTonKhoTrungBinhYTD = 0 OR c.vGiaVonYTD = 0 THEN 0
            ELSE (365.0 / (c.vGiaVonYTD / i.vTonKhoTrungBinhYTD))
        END AS dio_days
    FROM COGS_YTD c CROSS JOIN Avg_Inventory i
),
--------------------------------------------------------------------------------
-- 3. TÍNH DPO (SỐ NGÀY PHẢI TRẢ)
--------------------------------------------------------------------------------
DPO_Calc AS (
    WITH Max_Inward_Date AS (
        SELECT MAX(posting_date) AS vNgayGiaVonMax
        FROM silver.fact_inventoryinward inv, Target_Date t
        WHERE inv.posting_date &lt;= t.vNgayChotBaoCao
    ),
    COGS_Inward_YTD AS (
        SELECT COALESCE(SUM(inward_value), 0) AS vGiaVonYTD
        FROM silver.fact_inventoryinward inv, Max_Inward_Date m
        WHERE inv.posting_date &lt;= m.vNgayGiaVonMax
          AND EXTRACT(YEAR FROM inv.posting_date) = EXTRACT(YEAR FROM m.vNgayGiaVonMax)
    ),
    AP_Balance AS (
        SELECT COALESCE(SUM(credit_amount) - SUM(debit_amount), 0) AS vDuNoPhaiTra
        FROM silver.fact_accountspayable ap, Max_Inward_Date m
        WHERE ap.posting_date &lt;= m.vNgayGiaVonMax
    )
    SELECT 
        c.vGiaVonYTD,
        p.vDuNoPhaiTra,
        CASE 
            WHEN p.vDuNoPhaiTra = 0 OR c.vGiaVonYTD = 0 THEN 0
            ELSE (365.0 / (c.vGiaVonYTD / p.vDuNoPhaiTra))
        END AS dpo_days
    FROM COGS_Inward_YTD c CROSS JOIN AP_Balance p
)
--------------------------------------------------------------------------------
-- 4. TỔNG HỢP KẾT QUẢ CHU KỲ TIỀN MẶT (CCC)
--------------------------------------------------------------------------------
SELECT 
    ROUND(dso.dso_days, 4) AS So_Ngay_Phai_Thu_DSO,
    ROUND(dio.dio_days, 4) AS So_Ngay_HTK_DIO,
    ROUND(dpo.dpo_days, 4) AS So_Ngay_Phai_Tra_DPO,
    -- CCC = DSO + DIO - DPO
    ROUND(dso.dso_days + dio.dio_days - dpo.dpo_days, 4) AS Chu_Ky_Tien_Mat_CCC
FROM DSO_Calc dso
CROSS JOIN DIO_Calc dio
CROSS JOIN DPO_Calc dpo;</t>
  </si>
  <si>
    <t>Quản trị tồn kho</t>
  </si>
  <si>
    <t>Số lượng hàng tồn kho</t>
  </si>
  <si>
    <t>_TonKho_H[SL_TonKho_H]</t>
  </si>
  <si>
    <t>silver fact_inventory_balance</t>
  </si>
  <si>
    <t>Tong_hop_ton_kho</t>
  </si>
  <si>
    <t>WITH NgayChotSo AS (
    SELECT
        MAX(snapshot_date) AS snapshot_date
    FROM silver.fact_inventory_balance
    WHERE snapshot_date =
          (DATE_TRUNC('month', snapshot_date)
           + INTERVAL '1 month'
           - INTERVAL '1 day')::date
)
SELECT
    SUM(fib.ending_value) AS GiaTri_TonKho_H
FROM silver.fact_inventory_balance fib
JOIN NgayChotSo n
    ON fib.snapshot_date = n.snapshot_date;</t>
  </si>
  <si>
    <t>322268260868.00</t>
  </si>
  <si>
    <t>Hiệp</t>
  </si>
  <si>
    <t>Filter Thời gian : All
Filter Dòng sản phẩm: All</t>
  </si>
  <si>
    <t>Giá trị hàng tồn kho</t>
  </si>
  <si>
    <t>_TonKho_H[GiaTri_TonKho_H]</t>
  </si>
  <si>
    <t>SELECT
    SUM(ending_quantity) AS SL_TonKho_H
FROM silver.fact_inventory_balance
WHERE snapshot_date = (
    SELECT MAX(snapshot_date)
    FROM silver.fact_inventory_balance
    WHERE EXTRACT(MONTH FROM snapshot_date) = 2
      AND snapshot_date =
          (
              DATE_TRUNC('month', snapshot_date)
              + INTERVAL '1 month'
              - INTERVAL '1 day'
          )::date
);</t>
  </si>
  <si>
    <t>1153063.05</t>
  </si>
  <si>
    <t>Filter Thời gian : Tháng 02/2026
Filter Dòng sản phẩm: All</t>
  </si>
  <si>
    <t>Vòng quay hàng tồn kho</t>
  </si>
  <si>
    <t>_TonKho_H[VongQuay_TonKho_H]</t>
  </si>
  <si>
    <t xml:space="preserve"> silver fact_incomestatement
 silver fact_inventory_balance
</t>
  </si>
  <si>
    <t xml:space="preserve"> B02 DN Bao cao ket qua hoat dong kinh doanh
 Tong_hop_ton_kho</t>
  </si>
  <si>
    <t>WITH GiaVon AS (
    -- 1. Tính tổng Giá vốn hàng bán lũy kế trong kỳ
    SELECT
        SUM(current_period_amount) AS gia_von
    FROM silver.fact_incomestatement
    WHERE indicator_code = 'B02-DN_11'
      AND  month = '2026-03-31'
),
NgayChotSo AS (
    -- 2. Quét tìm ngày chốt sổ (ngày cuối tháng) muộn nhất tính đến kỳ báo cáo
    SELECT
        MAX(snapshot_date) AS snapshot_date
    FROM silver.fact_inventory_balance
    WHERE snapshot_date =
        (
            DATE_TRUNC('month', snapshot_date)
            + INTERVAL '1 month'
            - INTERVAL '1 day'
        )::date
      AND snapshot_date &lt;= '2026-03-31'
),
TonKho AS (
    -- 3. Rút tổng giá trị Tồn kho của ĐÚNG ngày chốt sổ vừa tìm được
    SELECT
        SUM(fib.ending_value) AS gia_tri_ton_kho
    FROM silver.fact_inventory_balance fib
    JOIN NgayChotSo n
        ON fib.snapshot_date = n.snapshot_date
)
-- 4. Trả kết quả và tính Vòng quay (Kèm hàm chống lỗi chia cho 0)
SELECT
    g.gia_von,
    t.gia_tri_ton_kho,
    COALESCE(g.gia_von / NULLIF(t.gia_tri_ton_kho, 0), 0) AS vong_quay_ton_kho_h
FROM GiaVon g
CROSS JOIN TonKho t;</t>
  </si>
  <si>
    <t>Filter Thời gian : Tháng 03/2026
Filter Dòng sản phẩm: All</t>
  </si>
  <si>
    <t>Tỷ lệ tồn kho trên doanh thu</t>
  </si>
  <si>
    <t>_TonKho_H[TyLe_TonKho_DoanhThu_H]</t>
  </si>
  <si>
    <t>WITH DoanhThu AS (
    SELECT
        SUM(current_period_amount) AS doanh_thu_thuan
    FROM silver.fact_incomestatement
    WHERE indicator_code = 'B02-DN_10'
      AND month &gt;= '2026-06-01' 
      AND month &lt;= '2026-06-30'
),
NgayChotSo AS (
    SELECT
        MAX(snapshot_date) AS snapshot_date
    FROM silver.fact_inventory_balance
    WHERE snapshot_date =
          (
              DATE_TRUNC('month', snapshot_date)
              + INTERVAL '1 month'
              - INTERVAL '1 day'
          )::date
      AND snapshot_date &lt;= '2026-06-30'
),
TonKho AS (
    SELECT
        SUM(fib.ending_value) AS gia_tri_ton_kho
    FROM silver.fact_inventory_balance fib
    JOIN NgayChotSo n
        ON fib.snapshot_date = n.snapshot_date
)
SELECT
    t.gia_tri_ton_kho,
    d.doanh_thu_thuan,
    COALESCE(
        t.gia_tri_ton_kho / NULLIF(d.doanh_thu_thuan, 0),
        0
    ) AS TyLe_TonKho_DoanhThu_H
FROM TonKho t
CROSS JOIN DoanhThu d;</t>
  </si>
  <si>
    <t>Filter Thời gian : Tháng 06/2026
Filter Dòng sản phẩm: All</t>
  </si>
  <si>
    <t>Tổng mã sản phẩm</t>
  </si>
  <si>
    <t>_TonKho_H[Tong_SKU_H]</t>
  </si>
  <si>
    <t>WITH NgayChotSo AS (
    SELECT
        MAX(snapshot_date) AS snapshot_date
    FROM silver.fact_inventory_balance
    WHERE EXTRACT(MONTH FROM snapshot_date) = 6
      AND snapshot_date =
          (
              DATE_TRUNC('month', snapshot_date)
              + INTERVAL '1 month'
              - INTERVAL '1 day'
          )::date
)
SELECT
    COUNT(DISTINCT fib.product_code) AS Tong_SKU_H
FROM silver.fact_inventory_balance fib
JOIN NgayChotSo n
    ON fib.snapshot_date = n.snapshot_date;</t>
  </si>
  <si>
    <t>Giá trị hàng nhập khẩu</t>
  </si>
  <si>
    <t>_TonKho_H[GiaTri_HangNhapKhau]</t>
  </si>
  <si>
    <t>silver fact_inventoryinward</t>
  </si>
  <si>
    <t>So_chi_tiet_mua_hang</t>
  </si>
  <si>
    <t>SELECT
    SUM(inward_value) AS GiaTri_HangNhapKhau
FROM silver.fact_inventoryinward
WHERE exchange_rate &gt; 1
  AND EXTRACT(MONTH FROM posting_date) = 6;</t>
  </si>
  <si>
    <t>10876246221.00</t>
  </si>
  <si>
    <t>Quản trị hoạt động tài chính</t>
  </si>
  <si>
    <t>Dư nợ ngắn hạn</t>
  </si>
  <si>
    <t>_HoatDongTaiChinh[DuNo_NganHan]</t>
  </si>
  <si>
    <t>WITH LastRow AS (
    SELECT
        account_no,
        credit_balance,
        ROW_NUMBER() OVER (
            PARTITION BY account_no
            ORDER BY Posting_Date DESC, ID DESC
        ) AS rn
    FROM silver.fact_cashflow
    WHERE account_no IN ('34111', '34113', '34114')
)
SELECT
    SUM(credit_balance) AS DuNo_NganHan
FROM LastRow
WHERE rn = 1;</t>
  </si>
  <si>
    <t>307779676321.00</t>
  </si>
  <si>
    <t>Filter Thời gian : All
Filter Ngân hàng: All</t>
  </si>
  <si>
    <t>Dư nợ dài hạn</t>
  </si>
  <si>
    <t>_HoatDongTaiChinh[DuNo_DaiHan]</t>
  </si>
  <si>
    <t>WITH LastRow AS (
    SELECT
        account_no,
        credit_balance,
        ROW_NUMBER() OVER (
            PARTITION BY account_no
            ORDER BY Posting_Date DESC, ID DESC
        ) AS rn
    FROM silver.fact_cashflow
    WHERE account_no = '34112'
)
SELECT
    SUM(credit_balance) AS DuNo_DaiHan
FROM LastRow
WHERE rn = 1;</t>
  </si>
  <si>
    <t>52253093475.00</t>
  </si>
  <si>
    <t>Hạn mức được phê duyệt</t>
  </si>
  <si>
    <t>_HoatDongTaiChinh[HanMuc_PheDuyet]</t>
  </si>
  <si>
    <t>silver fact_creditlimitsummary</t>
  </si>
  <si>
    <t>Tổng hợp</t>
  </si>
  <si>
    <t>SELECT
    SUM(credit_limit) AS HanMuc_PheDuyet
FROM silver.fact_creditlimitsummary;</t>
  </si>
  <si>
    <t>485000000000.00</t>
  </si>
  <si>
    <t>Hạn mức được cấp</t>
  </si>
  <si>
    <t>_HoatDongTaiChinh[HanMuc_DuocCap]</t>
  </si>
  <si>
    <t>Theo dõi vay NH</t>
  </si>
  <si>
    <t>SELECT
    SUM(granted_limit) AS HanMuc_DuocCap
FROM silver.fact_creditlimitsummary;</t>
  </si>
  <si>
    <t>295000000000.00</t>
  </si>
  <si>
    <t>Hạn mức còn lại</t>
  </si>
  <si>
    <t>_HoatDongTaiChinh[HanMuc_ConLai]</t>
  </si>
  <si>
    <t>SELECT
    SUM(remaining_disbursement) AS HanMuc_ConLai
FROM silver.fact_creditlimitsummary;</t>
  </si>
  <si>
    <t>24135521634.00</t>
  </si>
  <si>
    <t>Loan to Value</t>
  </si>
  <si>
    <t>_HoatDongTaiChinh[LTV_Ratio]</t>
  </si>
  <si>
    <t xml:space="preserve"> silver fact_creditlimitsummary
 silver fact_collateral</t>
  </si>
  <si>
    <t xml:space="preserve"> Theo dõi vay NH
 TSBĐ Bank</t>
  </si>
  <si>
    <t>WITH HanMucDuocCap AS (
    SELECT
        SUM(granted_limit) AS han_muc_duoc_cap
    FROM silver.fact_creditlimitsummary
),
TaiSanDamBao AS (
    SELECT
        SUM(appraised_value) AS gia_tri_tai_san
    FROM silver.fact_collateral
)
SELECT
    h.han_muc_duoc_cap,
    t.gia_tri_tai_san,
    COALESCE(
        h.han_muc_duoc_cap / NULLIF(t.gia_tri_tai_san, 0),
        0
    ) AS LTV_Ratio
FROM HanMucDuocCap h
CROSS JOIN TaiSanDamBao t;</t>
  </si>
  <si>
    <t>DEBT/EQUITY(D/E: Tỷ lệ nợ/vốn)</t>
  </si>
  <si>
    <t>_HoatDongTaiChinh[D_E_Ratio]</t>
  </si>
  <si>
    <t xml:space="preserve"> silver fact_balancesheet</t>
  </si>
  <si>
    <t>WITH NoPhaiTra AS (
    SELECT
        SUM(fb.ending_balance) AS no_phai_tra
    FROM silver.fact_balancesheet fb
    JOIN silver.dim_reportitem dr
        ON fb.indicator_code = dr.item_id
    WHERE dr.item_id = 'B01-DN_300'
),
TongNguonVon AS (
    SELECT
        SUM(fb.ending_balance) AS tong_nguon_von
    FROM silver.fact_balancesheet fb
    JOIN silver.dim_reportitem dr
        ON fb.indicator_code = dr.item_id
    WHERE dr.item_id = 'B01-DN_440'
)
SELECT
    n.no_phai_tra,
    t.tong_nguon_von,
    COALESCE(
        n.no_phai_tra / NULLIF(t.tong_nguon_von, 0),
        0
    ) AS D_E_Ratio
FROM NoPhaiTra n
CROSS JOIN TongNguonVon t;</t>
  </si>
  <si>
    <t>Lãi suất trung bình</t>
  </si>
  <si>
    <t>_HoatDongTaiChinh[LaiSuat_BinhQuan_GianDon]</t>
  </si>
  <si>
    <t>silver fact_loan</t>
  </si>
  <si>
    <t>SELECT
    AVG(interest_rate) AS LaiSuat_BinhQuan_GianDon
FROM silver.fact_loan;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</si>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</sst>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m\.yyyy"/>
  </numFmts>
  <fonts count="10" x14ac:knownFonts="1">
    <font>
      <sz val="10"/>
      <color rgb="FF000000"/>
      <name val="Arial"/>
      <scheme val="minor"/>
    </font>
    <font>
      <b/>
      <sz val="13"/>
      <color theme="1"/>
      <name val="Arial"/>
    </font>
    <font>
      <b/>
      <sz val="12"/>
      <color theme="1"/>
      <name val="Arial"/>
    </font>
    <font>
      <b/>
      <sz val="11"/>
      <color theme="1"/>
      <name val="Calibri"/>
    </font>
    <font>
      <sz val="12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0"/>
      <name val="Arial"/>
    </font>
    <font>
      <sz val="11"/>
      <color theme="1"/>
      <name val="Times New Roman"/>
    </font>
    <font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/>
    </xf>
    <xf numFmtId="0" fontId="4" fillId="0" borderId="1" xfId="0" applyFont="1" applyBorder="1"/>
    <xf numFmtId="2" fontId="1" fillId="2" borderId="0" xfId="0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right"/>
    </xf>
    <xf numFmtId="164" fontId="4" fillId="0" borderId="1" xfId="0" applyNumberFormat="1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4" fillId="0" borderId="2" xfId="0" applyFont="1" applyBorder="1"/>
    <xf numFmtId="0" fontId="7" fillId="0" borderId="3" xfId="0" applyFont="1" applyBorder="1"/>
    <xf numFmtId="0" fontId="6" fillId="0" borderId="2" xfId="0" applyFont="1" applyBorder="1" applyAlignment="1">
      <alignment vertical="center"/>
    </xf>
    <xf numFmtId="0" fontId="7" fillId="0" borderId="4" xfId="0" applyFont="1" applyBorder="1"/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8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"/>
  <sheetViews>
    <sheetView workbookViewId="0"/>
  </sheetViews>
  <sheetFormatPr defaultColWidth="12.5703125" defaultRowHeight="15.75" customHeight="1" x14ac:dyDescent="0.2"/>
  <cols>
    <col min="1" max="1" width="27.85546875" customWidth="1"/>
    <col min="2" max="2" width="45.85546875" customWidth="1"/>
  </cols>
  <sheetData>
    <row r="1" spans="1:2" x14ac:dyDescent="0.2">
      <c r="A1" s="2" t="s">
        <v>2</v>
      </c>
      <c r="B1" s="2" t="s">
        <v>7</v>
      </c>
    </row>
    <row r="2" spans="1:2" x14ac:dyDescent="0.2">
      <c r="A2" s="5" t="s">
        <v>10</v>
      </c>
      <c r="B2" s="5" t="s">
        <v>13</v>
      </c>
    </row>
    <row r="3" spans="1:2" x14ac:dyDescent="0.2">
      <c r="A3" s="5" t="s">
        <v>15</v>
      </c>
      <c r="B3" s="5" t="s">
        <v>17</v>
      </c>
    </row>
    <row r="4" spans="1:2" x14ac:dyDescent="0.2">
      <c r="A4" s="5" t="s">
        <v>19</v>
      </c>
      <c r="B4" s="5" t="s">
        <v>20</v>
      </c>
    </row>
    <row r="5" spans="1:2" x14ac:dyDescent="0.2">
      <c r="A5" s="5" t="s">
        <v>22</v>
      </c>
      <c r="B5" s="8">
        <v>46229</v>
      </c>
    </row>
    <row r="6" spans="1:2" x14ac:dyDescent="0.2">
      <c r="A6" s="19" t="s">
        <v>27</v>
      </c>
      <c r="B6" s="5" t="s">
        <v>29</v>
      </c>
    </row>
    <row r="7" spans="1:2" x14ac:dyDescent="0.2">
      <c r="A7" s="20"/>
      <c r="B7" s="5" t="s">
        <v>31</v>
      </c>
    </row>
  </sheetData>
  <mergeCells count="1">
    <mergeCell ref="A6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31"/>
  <sheetViews>
    <sheetView tabSelected="1" topLeftCell="A22" zoomScale="70" zoomScaleNormal="70" workbookViewId="0">
      <selection activeCell="P24" sqref="P24"/>
    </sheetView>
  </sheetViews>
  <sheetFormatPr defaultColWidth="12.5703125" defaultRowHeight="15.75" customHeight="1" x14ac:dyDescent="0.2"/>
  <cols>
    <col min="1" max="1" width="25.7109375" customWidth="1"/>
    <col min="2" max="2" width="28.42578125" customWidth="1"/>
    <col min="3" max="3" width="12.85546875" hidden="1" customWidth="1"/>
    <col min="4" max="4" width="26.28515625" customWidth="1"/>
    <col min="5" max="5" width="25.5703125" hidden="1" customWidth="1"/>
    <col min="6" max="6" width="23.28515625" bestFit="1" customWidth="1"/>
    <col min="7" max="7" width="20.5703125" hidden="1" customWidth="1"/>
    <col min="8" max="8" width="110.140625" style="24" customWidth="1"/>
    <col min="9" max="9" width="20.5703125" hidden="1" customWidth="1"/>
    <col min="10" max="10" width="20.28515625" customWidth="1"/>
    <col min="11" max="11" width="9.85546875" hidden="1" customWidth="1"/>
    <col min="12" max="12" width="9.7109375" hidden="1" customWidth="1"/>
    <col min="13" max="13" width="5.28515625" hidden="1" customWidth="1"/>
    <col min="14" max="14" width="21.42578125" customWidth="1"/>
  </cols>
  <sheetData>
    <row r="1" spans="1:14" ht="16.5" x14ac:dyDescent="0.2">
      <c r="A1" s="1" t="s">
        <v>0</v>
      </c>
      <c r="B1" s="1" t="s">
        <v>3</v>
      </c>
      <c r="C1" s="1" t="s">
        <v>4</v>
      </c>
      <c r="D1" s="3" t="s">
        <v>5</v>
      </c>
      <c r="E1" s="3" t="s">
        <v>6</v>
      </c>
      <c r="F1" s="3" t="s">
        <v>8</v>
      </c>
      <c r="G1" s="3" t="s">
        <v>9</v>
      </c>
      <c r="H1" s="3" t="s">
        <v>11</v>
      </c>
      <c r="I1" s="6" t="s">
        <v>16</v>
      </c>
      <c r="J1" s="6" t="s">
        <v>21</v>
      </c>
      <c r="K1" s="1" t="s">
        <v>23</v>
      </c>
      <c r="L1" s="1" t="s">
        <v>24</v>
      </c>
      <c r="M1" s="1" t="s">
        <v>25</v>
      </c>
      <c r="N1" s="3" t="s">
        <v>26</v>
      </c>
    </row>
    <row r="2" spans="1:14" ht="63.75" x14ac:dyDescent="0.2">
      <c r="A2" s="21" t="s">
        <v>28</v>
      </c>
      <c r="B2" s="9" t="s">
        <v>30</v>
      </c>
      <c r="C2" s="9" t="s">
        <v>32</v>
      </c>
      <c r="D2" s="10" t="s">
        <v>30</v>
      </c>
      <c r="E2" s="10" t="s">
        <v>33</v>
      </c>
      <c r="F2" s="10" t="s">
        <v>34</v>
      </c>
      <c r="G2" s="10" t="s">
        <v>35</v>
      </c>
      <c r="H2" s="10" t="s">
        <v>36</v>
      </c>
      <c r="I2" s="11" t="s">
        <v>37</v>
      </c>
      <c r="J2" s="11">
        <v>44307843412</v>
      </c>
      <c r="K2" s="12">
        <v>0</v>
      </c>
      <c r="L2" s="9" t="s">
        <v>38</v>
      </c>
      <c r="M2" s="9" t="s">
        <v>12</v>
      </c>
      <c r="N2" s="10" t="s">
        <v>39</v>
      </c>
    </row>
    <row r="3" spans="1:14" ht="76.5" x14ac:dyDescent="0.2">
      <c r="A3" s="22"/>
      <c r="B3" s="9" t="s">
        <v>40</v>
      </c>
      <c r="C3" s="9" t="s">
        <v>32</v>
      </c>
      <c r="D3" s="10" t="s">
        <v>40</v>
      </c>
      <c r="E3" s="10" t="s">
        <v>41</v>
      </c>
      <c r="F3" s="10" t="s">
        <v>42</v>
      </c>
      <c r="G3" s="10" t="s">
        <v>43</v>
      </c>
      <c r="H3" s="10" t="s">
        <v>44</v>
      </c>
      <c r="I3" s="11" t="s">
        <v>45</v>
      </c>
      <c r="J3" s="11" t="s">
        <v>45</v>
      </c>
      <c r="K3" s="12">
        <v>0</v>
      </c>
      <c r="L3" s="9" t="s">
        <v>38</v>
      </c>
      <c r="M3" s="9" t="s">
        <v>12</v>
      </c>
      <c r="N3" s="10" t="s">
        <v>46</v>
      </c>
    </row>
    <row r="4" spans="1:14" ht="76.5" x14ac:dyDescent="0.2">
      <c r="A4" s="22"/>
      <c r="B4" s="9" t="s">
        <v>47</v>
      </c>
      <c r="C4" s="9" t="s">
        <v>32</v>
      </c>
      <c r="D4" s="10" t="s">
        <v>47</v>
      </c>
      <c r="E4" s="10" t="s">
        <v>48</v>
      </c>
      <c r="F4" s="10" t="s">
        <v>42</v>
      </c>
      <c r="G4" s="10" t="s">
        <v>43</v>
      </c>
      <c r="H4" s="10" t="s">
        <v>49</v>
      </c>
      <c r="I4" s="11">
        <v>7</v>
      </c>
      <c r="J4" s="11">
        <v>7</v>
      </c>
      <c r="K4" s="12">
        <v>0</v>
      </c>
      <c r="L4" s="9" t="s">
        <v>38</v>
      </c>
      <c r="M4" s="9" t="s">
        <v>12</v>
      </c>
      <c r="N4" s="10" t="s">
        <v>46</v>
      </c>
    </row>
    <row r="5" spans="1:14" ht="89.25" x14ac:dyDescent="0.2">
      <c r="A5" s="22"/>
      <c r="B5" s="9" t="s">
        <v>50</v>
      </c>
      <c r="C5" s="9" t="s">
        <v>32</v>
      </c>
      <c r="D5" s="10" t="s">
        <v>50</v>
      </c>
      <c r="E5" s="10" t="s">
        <v>51</v>
      </c>
      <c r="F5" s="10" t="s">
        <v>42</v>
      </c>
      <c r="G5" s="10" t="s">
        <v>43</v>
      </c>
      <c r="H5" s="10" t="s">
        <v>52</v>
      </c>
      <c r="I5" s="11">
        <v>5</v>
      </c>
      <c r="J5" s="11">
        <v>5</v>
      </c>
      <c r="K5" s="12">
        <v>0</v>
      </c>
      <c r="L5" s="9" t="s">
        <v>38</v>
      </c>
      <c r="M5" s="9" t="s">
        <v>12</v>
      </c>
      <c r="N5" s="10" t="s">
        <v>53</v>
      </c>
    </row>
    <row r="6" spans="1:14" ht="51" x14ac:dyDescent="0.2">
      <c r="A6" s="20"/>
      <c r="B6" s="9" t="s">
        <v>54</v>
      </c>
      <c r="C6" s="9" t="s">
        <v>32</v>
      </c>
      <c r="D6" s="13" t="s">
        <v>54</v>
      </c>
      <c r="E6" s="10" t="s">
        <v>55</v>
      </c>
      <c r="F6" s="10" t="s">
        <v>56</v>
      </c>
      <c r="G6" s="10" t="s">
        <v>57</v>
      </c>
      <c r="H6" s="10" t="s">
        <v>58</v>
      </c>
      <c r="I6" s="11" t="s">
        <v>59</v>
      </c>
      <c r="J6" s="11" t="s">
        <v>59</v>
      </c>
      <c r="K6" s="12">
        <v>0</v>
      </c>
      <c r="L6" s="9" t="s">
        <v>38</v>
      </c>
      <c r="M6" s="9" t="s">
        <v>12</v>
      </c>
      <c r="N6" s="10" t="s">
        <v>53</v>
      </c>
    </row>
    <row r="7" spans="1:14" ht="140.25" x14ac:dyDescent="0.2">
      <c r="A7" s="21" t="s">
        <v>60</v>
      </c>
      <c r="B7" s="9" t="s">
        <v>61</v>
      </c>
      <c r="C7" s="9" t="s">
        <v>32</v>
      </c>
      <c r="D7" s="10" t="s">
        <v>61</v>
      </c>
      <c r="E7" s="10" t="s">
        <v>62</v>
      </c>
      <c r="F7" s="10" t="s">
        <v>63</v>
      </c>
      <c r="G7" s="10" t="s">
        <v>64</v>
      </c>
      <c r="H7" s="10" t="s">
        <v>65</v>
      </c>
      <c r="I7" s="11" t="s">
        <v>66</v>
      </c>
      <c r="J7" s="11" t="s">
        <v>66</v>
      </c>
      <c r="K7" s="12">
        <v>0</v>
      </c>
      <c r="L7" s="9" t="s">
        <v>38</v>
      </c>
      <c r="M7" s="9" t="s">
        <v>12</v>
      </c>
      <c r="N7" s="10" t="s">
        <v>67</v>
      </c>
    </row>
    <row r="8" spans="1:14" ht="183" customHeight="1" x14ac:dyDescent="0.2">
      <c r="A8" s="22"/>
      <c r="B8" s="9" t="s">
        <v>68</v>
      </c>
      <c r="C8" s="9" t="s">
        <v>32</v>
      </c>
      <c r="D8" s="10" t="s">
        <v>68</v>
      </c>
      <c r="E8" s="10" t="s">
        <v>69</v>
      </c>
      <c r="F8" s="10" t="s">
        <v>70</v>
      </c>
      <c r="G8" s="10" t="s">
        <v>71</v>
      </c>
      <c r="H8" s="10" t="s">
        <v>72</v>
      </c>
      <c r="I8" s="14" t="s">
        <v>73</v>
      </c>
      <c r="J8" s="14" t="s">
        <v>73</v>
      </c>
      <c r="K8" s="12">
        <v>0</v>
      </c>
      <c r="L8" s="9" t="s">
        <v>38</v>
      </c>
      <c r="M8" s="9" t="s">
        <v>12</v>
      </c>
      <c r="N8" s="10" t="s">
        <v>53</v>
      </c>
    </row>
    <row r="9" spans="1:14" ht="123.75" customHeight="1" x14ac:dyDescent="0.2">
      <c r="A9" s="22"/>
      <c r="B9" s="9" t="s">
        <v>74</v>
      </c>
      <c r="C9" s="9" t="s">
        <v>32</v>
      </c>
      <c r="D9" s="10" t="s">
        <v>74</v>
      </c>
      <c r="E9" s="10" t="s">
        <v>75</v>
      </c>
      <c r="F9" s="10" t="s">
        <v>63</v>
      </c>
      <c r="G9" s="10" t="s">
        <v>64</v>
      </c>
      <c r="H9" s="10" t="s">
        <v>76</v>
      </c>
      <c r="I9" s="11">
        <v>723</v>
      </c>
      <c r="J9" s="11">
        <v>723</v>
      </c>
      <c r="K9" s="12">
        <v>0</v>
      </c>
      <c r="L9" s="9" t="s">
        <v>38</v>
      </c>
      <c r="M9" s="9" t="s">
        <v>12</v>
      </c>
      <c r="N9" s="10" t="s">
        <v>53</v>
      </c>
    </row>
    <row r="10" spans="1:14" ht="119.25" customHeight="1" x14ac:dyDescent="0.2">
      <c r="A10" s="22"/>
      <c r="B10" s="9" t="s">
        <v>77</v>
      </c>
      <c r="C10" s="9" t="s">
        <v>32</v>
      </c>
      <c r="D10" s="10" t="s">
        <v>77</v>
      </c>
      <c r="E10" s="10" t="s">
        <v>78</v>
      </c>
      <c r="F10" s="10" t="s">
        <v>79</v>
      </c>
      <c r="G10" s="10" t="s">
        <v>80</v>
      </c>
      <c r="H10" s="10" t="s">
        <v>81</v>
      </c>
      <c r="I10" s="11" t="s">
        <v>82</v>
      </c>
      <c r="J10" s="11" t="s">
        <v>82</v>
      </c>
      <c r="K10" s="12">
        <v>0</v>
      </c>
      <c r="L10" s="9" t="s">
        <v>38</v>
      </c>
      <c r="M10" s="9" t="s">
        <v>12</v>
      </c>
      <c r="N10" s="10" t="s">
        <v>53</v>
      </c>
    </row>
    <row r="11" spans="1:14" ht="174" customHeight="1" x14ac:dyDescent="0.2">
      <c r="A11" s="22"/>
      <c r="B11" s="9" t="s">
        <v>83</v>
      </c>
      <c r="C11" s="9" t="s">
        <v>32</v>
      </c>
      <c r="D11" s="10" t="s">
        <v>83</v>
      </c>
      <c r="E11" s="10" t="s">
        <v>84</v>
      </c>
      <c r="F11" s="10" t="s">
        <v>85</v>
      </c>
      <c r="G11" s="10" t="s">
        <v>71</v>
      </c>
      <c r="H11" s="10" t="s">
        <v>86</v>
      </c>
      <c r="I11" s="15">
        <v>10.108337293538501</v>
      </c>
      <c r="J11" s="11">
        <v>10.1083</v>
      </c>
      <c r="K11" s="12">
        <v>0</v>
      </c>
      <c r="L11" s="9" t="s">
        <v>38</v>
      </c>
      <c r="M11" s="9" t="s">
        <v>12</v>
      </c>
      <c r="N11" s="10" t="s">
        <v>53</v>
      </c>
    </row>
    <row r="12" spans="1:14" ht="76.5" x14ac:dyDescent="0.2">
      <c r="A12" s="20"/>
      <c r="B12" s="9" t="s">
        <v>87</v>
      </c>
      <c r="C12" s="9" t="s">
        <v>32</v>
      </c>
      <c r="D12" s="10" t="s">
        <v>87</v>
      </c>
      <c r="E12" s="10" t="s">
        <v>88</v>
      </c>
      <c r="F12" s="10" t="s">
        <v>63</v>
      </c>
      <c r="G12" s="10" t="s">
        <v>64</v>
      </c>
      <c r="H12" s="10" t="s">
        <v>89</v>
      </c>
      <c r="I12" s="16">
        <v>728</v>
      </c>
      <c r="J12" s="16">
        <v>728</v>
      </c>
      <c r="K12" s="16">
        <v>0</v>
      </c>
      <c r="L12" s="9" t="s">
        <v>38</v>
      </c>
      <c r="M12" s="9" t="s">
        <v>12</v>
      </c>
      <c r="N12" s="10" t="s">
        <v>90</v>
      </c>
    </row>
    <row r="13" spans="1:14" ht="221.25" customHeight="1" x14ac:dyDescent="0.2">
      <c r="A13" s="23" t="s">
        <v>91</v>
      </c>
      <c r="B13" s="9" t="s">
        <v>92</v>
      </c>
      <c r="C13" s="9" t="s">
        <v>32</v>
      </c>
      <c r="D13" s="9" t="s">
        <v>92</v>
      </c>
      <c r="E13" s="10" t="s">
        <v>93</v>
      </c>
      <c r="F13" s="10" t="s">
        <v>56</v>
      </c>
      <c r="G13" s="10" t="s">
        <v>57</v>
      </c>
      <c r="H13" s="10" t="s">
        <v>94</v>
      </c>
      <c r="I13" s="11" t="s">
        <v>95</v>
      </c>
      <c r="J13" s="11" t="s">
        <v>95</v>
      </c>
      <c r="K13" s="12">
        <v>0</v>
      </c>
      <c r="L13" s="9" t="s">
        <v>38</v>
      </c>
      <c r="M13" s="9" t="s">
        <v>12</v>
      </c>
      <c r="N13" s="10" t="s">
        <v>96</v>
      </c>
    </row>
    <row r="14" spans="1:14" ht="293.25" customHeight="1" x14ac:dyDescent="0.2">
      <c r="A14" s="22"/>
      <c r="B14" s="9" t="s">
        <v>97</v>
      </c>
      <c r="C14" s="9" t="s">
        <v>32</v>
      </c>
      <c r="D14" s="9" t="s">
        <v>97</v>
      </c>
      <c r="E14" s="10" t="s">
        <v>98</v>
      </c>
      <c r="F14" s="10" t="s">
        <v>56</v>
      </c>
      <c r="G14" s="10" t="s">
        <v>57</v>
      </c>
      <c r="H14" s="10" t="s">
        <v>99</v>
      </c>
      <c r="I14" s="11" t="s">
        <v>100</v>
      </c>
      <c r="J14" s="11" t="s">
        <v>100</v>
      </c>
      <c r="K14" s="12">
        <v>0</v>
      </c>
      <c r="L14" s="9" t="s">
        <v>38</v>
      </c>
      <c r="M14" s="9" t="s">
        <v>12</v>
      </c>
      <c r="N14" s="10" t="s">
        <v>96</v>
      </c>
    </row>
    <row r="15" spans="1:14" ht="184.5" customHeight="1" x14ac:dyDescent="0.2">
      <c r="A15" s="22"/>
      <c r="B15" s="9" t="s">
        <v>101</v>
      </c>
      <c r="C15" s="9" t="s">
        <v>32</v>
      </c>
      <c r="D15" s="9" t="s">
        <v>101</v>
      </c>
      <c r="E15" s="10" t="s">
        <v>102</v>
      </c>
      <c r="F15" s="10" t="s">
        <v>56</v>
      </c>
      <c r="G15" s="10" t="s">
        <v>57</v>
      </c>
      <c r="H15" s="10" t="s">
        <v>103</v>
      </c>
      <c r="I15" s="11" t="s">
        <v>104</v>
      </c>
      <c r="J15" s="11" t="s">
        <v>104</v>
      </c>
      <c r="K15" s="12">
        <v>0</v>
      </c>
      <c r="L15" s="9" t="s">
        <v>38</v>
      </c>
      <c r="M15" s="9" t="s">
        <v>12</v>
      </c>
      <c r="N15" s="10" t="s">
        <v>96</v>
      </c>
    </row>
    <row r="16" spans="1:14" ht="231" customHeight="1" x14ac:dyDescent="0.2">
      <c r="A16" s="22"/>
      <c r="B16" s="9" t="s">
        <v>105</v>
      </c>
      <c r="C16" s="9" t="s">
        <v>32</v>
      </c>
      <c r="D16" s="9" t="s">
        <v>105</v>
      </c>
      <c r="E16" s="10" t="s">
        <v>106</v>
      </c>
      <c r="F16" s="10" t="s">
        <v>107</v>
      </c>
      <c r="G16" s="10" t="s">
        <v>108</v>
      </c>
      <c r="H16" s="10" t="s">
        <v>109</v>
      </c>
      <c r="I16" s="11" t="s">
        <v>110</v>
      </c>
      <c r="J16" s="11" t="s">
        <v>110</v>
      </c>
      <c r="K16" s="12">
        <v>0</v>
      </c>
      <c r="L16" s="9" t="s">
        <v>38</v>
      </c>
      <c r="M16" s="9" t="s">
        <v>12</v>
      </c>
      <c r="N16" s="10" t="s">
        <v>96</v>
      </c>
    </row>
    <row r="17" spans="1:16" ht="234.75" customHeight="1" x14ac:dyDescent="0.2">
      <c r="A17" s="20"/>
      <c r="B17" s="9" t="s">
        <v>111</v>
      </c>
      <c r="C17" s="9" t="s">
        <v>32</v>
      </c>
      <c r="D17" s="9" t="s">
        <v>111</v>
      </c>
      <c r="E17" s="10" t="s">
        <v>112</v>
      </c>
      <c r="F17" s="10" t="s">
        <v>113</v>
      </c>
      <c r="G17" s="10" t="s">
        <v>114</v>
      </c>
      <c r="H17" s="10" t="s">
        <v>115</v>
      </c>
      <c r="I17" s="11">
        <v>1009.1420836941101</v>
      </c>
      <c r="J17" s="11">
        <v>1009.1421</v>
      </c>
      <c r="K17" s="12">
        <v>0</v>
      </c>
      <c r="L17" s="9" t="s">
        <v>38</v>
      </c>
      <c r="M17" s="9" t="s">
        <v>12</v>
      </c>
      <c r="N17" s="10" t="s">
        <v>96</v>
      </c>
    </row>
    <row r="18" spans="1:16" ht="191.25" x14ac:dyDescent="0.2">
      <c r="A18" s="23" t="s">
        <v>116</v>
      </c>
      <c r="B18" s="13" t="s">
        <v>117</v>
      </c>
      <c r="C18" s="9" t="s">
        <v>32</v>
      </c>
      <c r="D18" s="13" t="s">
        <v>117</v>
      </c>
      <c r="E18" s="10" t="s">
        <v>118</v>
      </c>
      <c r="F18" s="10" t="s">
        <v>119</v>
      </c>
      <c r="G18" s="10" t="s">
        <v>120</v>
      </c>
      <c r="H18" s="10" t="s">
        <v>121</v>
      </c>
      <c r="I18" s="11">
        <v>322268260868</v>
      </c>
      <c r="J18" s="11" t="s">
        <v>122</v>
      </c>
      <c r="K18" s="12">
        <v>0</v>
      </c>
      <c r="L18" s="9" t="s">
        <v>123</v>
      </c>
      <c r="M18" s="9" t="s">
        <v>12</v>
      </c>
      <c r="N18" s="10" t="s">
        <v>124</v>
      </c>
    </row>
    <row r="19" spans="1:16" ht="178.5" x14ac:dyDescent="0.2">
      <c r="A19" s="22"/>
      <c r="B19" s="13" t="s">
        <v>125</v>
      </c>
      <c r="C19" s="9" t="s">
        <v>32</v>
      </c>
      <c r="D19" s="13" t="s">
        <v>125</v>
      </c>
      <c r="E19" s="10" t="s">
        <v>126</v>
      </c>
      <c r="F19" s="10" t="s">
        <v>119</v>
      </c>
      <c r="G19" s="10" t="s">
        <v>120</v>
      </c>
      <c r="H19" s="10" t="s">
        <v>127</v>
      </c>
      <c r="I19" s="11" t="s">
        <v>128</v>
      </c>
      <c r="J19" s="11">
        <v>1153063.04999999</v>
      </c>
      <c r="K19" s="12">
        <v>0</v>
      </c>
      <c r="L19" s="9" t="s">
        <v>123</v>
      </c>
      <c r="M19" s="9" t="s">
        <v>12</v>
      </c>
      <c r="N19" s="10" t="s">
        <v>129</v>
      </c>
    </row>
    <row r="20" spans="1:16" ht="125.25" customHeight="1" x14ac:dyDescent="0.2">
      <c r="A20" s="22"/>
      <c r="B20" s="9" t="s">
        <v>130</v>
      </c>
      <c r="C20" s="9" t="s">
        <v>32</v>
      </c>
      <c r="D20" s="9" t="s">
        <v>130</v>
      </c>
      <c r="E20" s="10" t="s">
        <v>131</v>
      </c>
      <c r="F20" s="10" t="s">
        <v>132</v>
      </c>
      <c r="G20" s="10" t="s">
        <v>133</v>
      </c>
      <c r="H20" s="10" t="s">
        <v>134</v>
      </c>
      <c r="I20" s="15">
        <v>0.27389497212804498</v>
      </c>
      <c r="J20" s="11">
        <v>0.27389497212804498</v>
      </c>
      <c r="K20" s="12">
        <v>0</v>
      </c>
      <c r="L20" s="9" t="s">
        <v>123</v>
      </c>
      <c r="M20" s="9" t="s">
        <v>12</v>
      </c>
      <c r="N20" s="10" t="s">
        <v>135</v>
      </c>
    </row>
    <row r="21" spans="1:16" ht="129.75" customHeight="1" x14ac:dyDescent="0.2">
      <c r="A21" s="22"/>
      <c r="B21" s="9" t="s">
        <v>136</v>
      </c>
      <c r="C21" s="9" t="s">
        <v>32</v>
      </c>
      <c r="D21" s="9" t="s">
        <v>136</v>
      </c>
      <c r="E21" s="10" t="s">
        <v>137</v>
      </c>
      <c r="F21" s="10" t="s">
        <v>132</v>
      </c>
      <c r="G21" s="10" t="s">
        <v>133</v>
      </c>
      <c r="H21" s="10" t="s">
        <v>138</v>
      </c>
      <c r="I21" s="15">
        <v>3.9633294984054501</v>
      </c>
      <c r="J21" s="11">
        <v>3.9633294984054501</v>
      </c>
      <c r="K21" s="12">
        <v>0</v>
      </c>
      <c r="L21" s="9" t="s">
        <v>123</v>
      </c>
      <c r="M21" s="9" t="s">
        <v>12</v>
      </c>
      <c r="N21" s="10" t="s">
        <v>139</v>
      </c>
    </row>
    <row r="22" spans="1:16" ht="131.25" customHeight="1" x14ac:dyDescent="0.2">
      <c r="A22" s="22"/>
      <c r="B22" s="9" t="s">
        <v>140</v>
      </c>
      <c r="C22" s="9" t="s">
        <v>32</v>
      </c>
      <c r="D22" s="9" t="s">
        <v>140</v>
      </c>
      <c r="E22" s="10" t="s">
        <v>141</v>
      </c>
      <c r="F22" s="10" t="s">
        <v>119</v>
      </c>
      <c r="G22" s="10" t="s">
        <v>120</v>
      </c>
      <c r="H22" s="10" t="s">
        <v>142</v>
      </c>
      <c r="I22" s="11">
        <v>2368</v>
      </c>
      <c r="J22" s="11">
        <v>2368</v>
      </c>
      <c r="K22" s="12">
        <v>0</v>
      </c>
      <c r="L22" s="9" t="s">
        <v>123</v>
      </c>
      <c r="M22" s="9" t="s">
        <v>12</v>
      </c>
      <c r="N22" s="10" t="s">
        <v>139</v>
      </c>
    </row>
    <row r="23" spans="1:16" ht="63.75" x14ac:dyDescent="0.2">
      <c r="A23" s="20"/>
      <c r="B23" s="9" t="s">
        <v>143</v>
      </c>
      <c r="C23" s="9" t="s">
        <v>32</v>
      </c>
      <c r="D23" s="9" t="s">
        <v>143</v>
      </c>
      <c r="E23" s="10" t="s">
        <v>144</v>
      </c>
      <c r="F23" s="10" t="s">
        <v>145</v>
      </c>
      <c r="G23" s="10" t="s">
        <v>146</v>
      </c>
      <c r="H23" s="10" t="s">
        <v>147</v>
      </c>
      <c r="I23" s="11">
        <v>10876246221</v>
      </c>
      <c r="J23" s="11" t="s">
        <v>148</v>
      </c>
      <c r="K23" s="12">
        <v>0</v>
      </c>
      <c r="L23" s="9" t="s">
        <v>123</v>
      </c>
      <c r="M23" s="9" t="s">
        <v>12</v>
      </c>
      <c r="N23" s="10" t="s">
        <v>139</v>
      </c>
    </row>
    <row r="24" spans="1:16" ht="204" x14ac:dyDescent="0.2">
      <c r="A24" s="23" t="s">
        <v>149</v>
      </c>
      <c r="B24" s="17" t="s">
        <v>150</v>
      </c>
      <c r="C24" s="9" t="s">
        <v>32</v>
      </c>
      <c r="D24" s="18" t="s">
        <v>150</v>
      </c>
      <c r="E24" s="10" t="s">
        <v>151</v>
      </c>
      <c r="F24" s="10" t="s">
        <v>56</v>
      </c>
      <c r="G24" s="10" t="s">
        <v>57</v>
      </c>
      <c r="H24" s="10" t="s">
        <v>152</v>
      </c>
      <c r="I24" s="15">
        <v>307779676321</v>
      </c>
      <c r="J24" s="15" t="s">
        <v>153</v>
      </c>
      <c r="K24" s="12">
        <v>0</v>
      </c>
      <c r="L24" s="9" t="s">
        <v>123</v>
      </c>
      <c r="M24" s="9" t="s">
        <v>12</v>
      </c>
      <c r="N24" s="10" t="s">
        <v>154</v>
      </c>
    </row>
    <row r="25" spans="1:16" ht="204" x14ac:dyDescent="0.2">
      <c r="A25" s="22"/>
      <c r="B25" s="17" t="s">
        <v>155</v>
      </c>
      <c r="C25" s="9" t="s">
        <v>32</v>
      </c>
      <c r="D25" s="18" t="s">
        <v>155</v>
      </c>
      <c r="E25" s="10" t="s">
        <v>156</v>
      </c>
      <c r="F25" s="10" t="s">
        <v>56</v>
      </c>
      <c r="G25" s="10" t="s">
        <v>57</v>
      </c>
      <c r="H25" s="10" t="s">
        <v>157</v>
      </c>
      <c r="I25" s="11">
        <v>52253093475</v>
      </c>
      <c r="J25" s="31" t="s">
        <v>158</v>
      </c>
      <c r="K25" s="12">
        <v>0</v>
      </c>
      <c r="L25" s="9" t="s">
        <v>123</v>
      </c>
      <c r="M25" s="9" t="s">
        <v>12</v>
      </c>
      <c r="N25" s="10" t="s">
        <v>154</v>
      </c>
    </row>
    <row r="26" spans="1:16" ht="38.25" x14ac:dyDescent="0.2">
      <c r="A26" s="22"/>
      <c r="B26" s="25" t="s">
        <v>159</v>
      </c>
      <c r="C26" s="26" t="s">
        <v>32</v>
      </c>
      <c r="D26" s="27" t="s">
        <v>159</v>
      </c>
      <c r="E26" s="28" t="s">
        <v>160</v>
      </c>
      <c r="F26" s="28" t="s">
        <v>161</v>
      </c>
      <c r="G26" s="28" t="s">
        <v>162</v>
      </c>
      <c r="H26" s="28" t="s">
        <v>163</v>
      </c>
      <c r="I26" s="29" t="s">
        <v>164</v>
      </c>
      <c r="J26" s="29" t="s">
        <v>164</v>
      </c>
      <c r="K26" s="30">
        <v>0</v>
      </c>
      <c r="L26" s="26" t="s">
        <v>123</v>
      </c>
      <c r="M26" s="26" t="s">
        <v>12</v>
      </c>
      <c r="N26" s="28" t="s">
        <v>154</v>
      </c>
    </row>
    <row r="27" spans="1:16" ht="38.25" x14ac:dyDescent="0.2">
      <c r="A27" s="22"/>
      <c r="B27" s="25" t="s">
        <v>165</v>
      </c>
      <c r="C27" s="26" t="s">
        <v>32</v>
      </c>
      <c r="D27" s="27" t="s">
        <v>165</v>
      </c>
      <c r="E27" s="28" t="s">
        <v>166</v>
      </c>
      <c r="F27" s="28" t="s">
        <v>161</v>
      </c>
      <c r="G27" s="28" t="s">
        <v>167</v>
      </c>
      <c r="H27" s="28" t="s">
        <v>168</v>
      </c>
      <c r="I27" s="29" t="s">
        <v>169</v>
      </c>
      <c r="J27" s="29" t="s">
        <v>169</v>
      </c>
      <c r="K27" s="30">
        <v>0</v>
      </c>
      <c r="L27" s="26" t="s">
        <v>123</v>
      </c>
      <c r="M27" s="26" t="s">
        <v>12</v>
      </c>
      <c r="N27" s="28" t="s">
        <v>154</v>
      </c>
    </row>
    <row r="28" spans="1:16" ht="38.25" x14ac:dyDescent="0.2">
      <c r="A28" s="22"/>
      <c r="B28" s="25" t="s">
        <v>170</v>
      </c>
      <c r="C28" s="26" t="s">
        <v>32</v>
      </c>
      <c r="D28" s="27" t="s">
        <v>170</v>
      </c>
      <c r="E28" s="28" t="s">
        <v>171</v>
      </c>
      <c r="F28" s="28" t="s">
        <v>161</v>
      </c>
      <c r="G28" s="28" t="s">
        <v>167</v>
      </c>
      <c r="H28" s="28" t="s">
        <v>172</v>
      </c>
      <c r="I28" s="29" t="s">
        <v>173</v>
      </c>
      <c r="J28" s="29" t="s">
        <v>173</v>
      </c>
      <c r="K28" s="30">
        <v>0</v>
      </c>
      <c r="L28" s="26" t="s">
        <v>123</v>
      </c>
      <c r="M28" s="26" t="s">
        <v>12</v>
      </c>
      <c r="N28" s="28" t="s">
        <v>154</v>
      </c>
    </row>
    <row r="29" spans="1:16" ht="146.25" customHeight="1" x14ac:dyDescent="0.2">
      <c r="A29" s="22"/>
      <c r="B29" s="17" t="s">
        <v>174</v>
      </c>
      <c r="C29" s="9" t="s">
        <v>32</v>
      </c>
      <c r="D29" s="18" t="s">
        <v>174</v>
      </c>
      <c r="E29" s="10" t="s">
        <v>175</v>
      </c>
      <c r="F29" s="10" t="s">
        <v>176</v>
      </c>
      <c r="G29" s="10" t="s">
        <v>177</v>
      </c>
      <c r="H29" s="10" t="s">
        <v>178</v>
      </c>
      <c r="I29" s="11">
        <v>0.71290863549346795</v>
      </c>
      <c r="J29" s="11">
        <v>0.71290863549346795</v>
      </c>
      <c r="K29" s="12">
        <v>0</v>
      </c>
      <c r="L29" s="9" t="s">
        <v>123</v>
      </c>
      <c r="M29" s="9" t="s">
        <v>12</v>
      </c>
      <c r="N29" s="10" t="s">
        <v>154</v>
      </c>
      <c r="P29" t="s">
        <v>187</v>
      </c>
    </row>
    <row r="30" spans="1:16" ht="91.5" customHeight="1" x14ac:dyDescent="0.2">
      <c r="A30" s="22"/>
      <c r="B30" s="17" t="s">
        <v>179</v>
      </c>
      <c r="C30" s="9" t="s">
        <v>32</v>
      </c>
      <c r="D30" s="18" t="s">
        <v>179</v>
      </c>
      <c r="E30" s="10" t="s">
        <v>180</v>
      </c>
      <c r="F30" s="10" t="s">
        <v>181</v>
      </c>
      <c r="G30" s="10" t="s">
        <v>35</v>
      </c>
      <c r="H30" s="10" t="s">
        <v>182</v>
      </c>
      <c r="I30" s="11">
        <v>0.73449638513969895</v>
      </c>
      <c r="J30" s="11">
        <v>0.73449638513969895</v>
      </c>
      <c r="K30" s="12">
        <v>0</v>
      </c>
      <c r="L30" s="9" t="s">
        <v>123</v>
      </c>
      <c r="M30" s="9" t="s">
        <v>12</v>
      </c>
      <c r="N30" s="10" t="s">
        <v>154</v>
      </c>
    </row>
    <row r="31" spans="1:16" ht="38.25" x14ac:dyDescent="0.2">
      <c r="A31" s="20"/>
      <c r="B31" s="18" t="s">
        <v>183</v>
      </c>
      <c r="C31" s="9" t="s">
        <v>32</v>
      </c>
      <c r="D31" s="18" t="s">
        <v>183</v>
      </c>
      <c r="E31" s="10" t="s">
        <v>184</v>
      </c>
      <c r="F31" s="10" t="s">
        <v>185</v>
      </c>
      <c r="G31" s="10" t="s">
        <v>167</v>
      </c>
      <c r="H31" s="10" t="s">
        <v>186</v>
      </c>
      <c r="I31" s="11">
        <v>8.3559302325581397E-2</v>
      </c>
      <c r="J31" s="11">
        <v>8.3559302325581397E-2</v>
      </c>
      <c r="K31" s="12">
        <v>0</v>
      </c>
      <c r="L31" s="9" t="s">
        <v>123</v>
      </c>
      <c r="M31" s="9" t="s">
        <v>12</v>
      </c>
      <c r="N31" s="10" t="s">
        <v>154</v>
      </c>
    </row>
  </sheetData>
  <mergeCells count="5">
    <mergeCell ref="A2:A6"/>
    <mergeCell ref="A7:A12"/>
    <mergeCell ref="A13:A17"/>
    <mergeCell ref="A18:A23"/>
    <mergeCell ref="A24:A31"/>
  </mergeCells>
  <dataValidations count="3">
    <dataValidation type="list" allowBlank="1" showErrorMessage="1" sqref="C2:C31" xr:uid="{00000000-0002-0000-0100-000000000000}">
      <formula1>"Card,Chart,Table"</formula1>
    </dataValidation>
    <dataValidation type="list" allowBlank="1" showErrorMessage="1" sqref="M2:M31" xr:uid="{00000000-0002-0000-0100-000001000000}">
      <formula1>"Pass,Fail"</formula1>
    </dataValidation>
    <dataValidation type="list" allowBlank="1" showErrorMessage="1" sqref="L2:L31" xr:uid="{00000000-0002-0000-0100-000002000000}">
      <formula1>"Khoa,Hiệp"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4" t="s">
        <v>1</v>
      </c>
      <c r="B1" s="4" t="s">
        <v>12</v>
      </c>
      <c r="C1" s="4" t="s">
        <v>14</v>
      </c>
      <c r="D1" s="4" t="s">
        <v>18</v>
      </c>
    </row>
    <row r="2" spans="1:4" ht="15.75" customHeight="1" x14ac:dyDescent="0.25">
      <c r="A2" s="7">
        <v>30</v>
      </c>
      <c r="B2" s="7">
        <v>30</v>
      </c>
      <c r="C2" s="7">
        <v>0</v>
      </c>
      <c r="D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Tổng quan</vt:lpstr>
      <vt:lpstr>2.UAT</vt:lpstr>
      <vt:lpstr>3.Tổng kết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Huu Dang</cp:lastModifiedBy>
  <dcterms:modified xsi:type="dcterms:W3CDTF">2026-09-28T16:13:10Z</dcterms:modified>
</cp:coreProperties>
</file>