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P&amp;L" sheetId="1" r:id="rId4"/>
    <sheet state="hidden" name="P&amp;L rev" sheetId="2" r:id="rId5"/>
    <sheet state="visible" name="KQKD_pa1" sheetId="3" r:id="rId6"/>
    <sheet state="visible" name="CĐKT_pa1" sheetId="4" r:id="rId7"/>
    <sheet state="visible" name="LCTT_pa1" sheetId="5" r:id="rId8"/>
    <sheet state="visible" name="Sheet2" sheetId="6" r:id="rId9"/>
    <sheet state="visible" name="Target_Vong_Quay" sheetId="7" r:id="rId10"/>
    <sheet state="hidden" name="NHU CẦU VLĐ" sheetId="8" r:id="rId11"/>
  </sheets>
  <externalReferences>
    <externalReference r:id="rId12"/>
  </externalReferences>
  <definedNames>
    <definedName name="_xlfn.IFERROR">#NAME?</definedName>
  </definedNames>
  <calcPr/>
  <extLst>
    <ext uri="GoogleSheetsCustomDataVersion2">
      <go:sheetsCustomData xmlns:go="http://customooxmlschemas.google.com/" r:id="rId13" roundtripDataChecksum="gHUL86jyQnLD2bIJurLxaKV4QsDMUa0v9Paj0nnkTOw="/>
    </ext>
  </extLst>
</workbook>
</file>

<file path=xl/sharedStrings.xml><?xml version="1.0" encoding="utf-8"?>
<sst xmlns="http://schemas.openxmlformats.org/spreadsheetml/2006/main" count="606" uniqueCount="287">
  <si>
    <t>CÔNG TY CỔ PHẦN TẬP ĐOÀN GỖ MINH LONG</t>
  </si>
  <si>
    <t>CÔNG TY CỔ PHẦN MIZA</t>
  </si>
  <si>
    <t>Mã số</t>
  </si>
  <si>
    <t>NĂM 2026</t>
  </si>
  <si>
    <t>KẾ HOẠCH KD 2026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</si>
  <si>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</si>
  <si>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</si>
  <si>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</si>
  <si>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</si>
  <si>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</si>
  <si>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</si>
  <si>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</si>
  <si>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</si>
  <si>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</si>
  <si>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</si>
  <si>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</si>
  <si>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</si>
  <si>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TÀI SẢN</t>
  </si>
  <si>
    <t>BH tồn KT</t>
  </si>
  <si>
    <t>TT</t>
  </si>
  <si>
    <t>Khoản mục</t>
  </si>
  <si>
    <t>Đvt</t>
  </si>
  <si>
    <t>A - TÀI SẢN NGẮN HẠN (100=110+120+130+140+150)</t>
  </si>
  <si>
    <t>NĂM 2025</t>
  </si>
  <si>
    <t>I. Tiền và các khoản tương đương tiền</t>
  </si>
  <si>
    <t>A</t>
  </si>
  <si>
    <t>SL SẢN XUẤT</t>
  </si>
  <si>
    <t>Tấn</t>
  </si>
  <si>
    <t>1. Tiền</t>
  </si>
  <si>
    <t xml:space="preserve">DOANH THU </t>
  </si>
  <si>
    <t>2. Các khoản tương đương tiền</t>
  </si>
  <si>
    <t>Ván ép</t>
  </si>
  <si>
    <t>Tấm</t>
  </si>
  <si>
    <t>II. Đầu tư tài chính ngắn hạn</t>
  </si>
  <si>
    <t>I</t>
  </si>
  <si>
    <t>1. Chứng khoán kinh doanh</t>
  </si>
  <si>
    <t>Doanh thu bán thành phẩm</t>
  </si>
  <si>
    <t>Giấy Melamin</t>
  </si>
  <si>
    <t>2. Dự phòng giảm giá chứng khoán kinh doanh (*)</t>
  </si>
  <si>
    <t>B</t>
  </si>
  <si>
    <t>SL BÁN HÀNG</t>
  </si>
  <si>
    <t>3. Đầu tư nắm giữ đến ngày đáo hạn</t>
  </si>
  <si>
    <t>MDF</t>
  </si>
  <si>
    <t>III. Các khoản phải thu ngắn hạn</t>
  </si>
  <si>
    <t>Dăm</t>
  </si>
  <si>
    <t>1. Phải thu ngắn hạn của khách hàng</t>
  </si>
  <si>
    <t>C</t>
  </si>
  <si>
    <t>Plywood</t>
  </si>
  <si>
    <t>2. Trả trước cho người bán ngắn hạn</t>
  </si>
  <si>
    <t>Trđ</t>
  </si>
  <si>
    <t>3. Phải thu nội bộ ngắn hạn</t>
  </si>
  <si>
    <t>HDF</t>
  </si>
  <si>
    <t>4. Phải thu theo tiến độ kế hoạch hợp đồng xây dựng</t>
  </si>
  <si>
    <t>Giấy Melamine</t>
  </si>
  <si>
    <t>5. Phải thu về cho vay ngắn hạn</t>
  </si>
  <si>
    <t>6. Phải thu ngắn hạn khác</t>
  </si>
  <si>
    <t>Giấy thô</t>
  </si>
  <si>
    <t>Giấy Laminate</t>
  </si>
  <si>
    <t>7. Dự phòng phải thu ngắn hạn khó đòi (*)</t>
  </si>
  <si>
    <t>8. Tài sản thiếu chờ xử lý</t>
  </si>
  <si>
    <t>Giá bán Bình quân</t>
  </si>
  <si>
    <t>Nẹp</t>
  </si>
  <si>
    <t>IV. Hàng tồn kho</t>
  </si>
  <si>
    <t>Khác</t>
  </si>
  <si>
    <t>1. Hàng tồn kho</t>
  </si>
  <si>
    <t>II</t>
  </si>
  <si>
    <t xml:space="preserve">Doanh thu thương mại </t>
  </si>
  <si>
    <t>2. Dự phòng giảm giá hàng tồn kho (*)</t>
  </si>
  <si>
    <t>D</t>
  </si>
  <si>
    <t>V. Tài sản ngắn hạn khác</t>
  </si>
  <si>
    <t>GIÁ VỐN HÀNG BÁN</t>
  </si>
  <si>
    <t>1. Chi phí trả trước ngắn hạn</t>
  </si>
  <si>
    <t>2. Thuế GTGT được khấu trừ</t>
  </si>
  <si>
    <t>Giá vốn hàng bán thành phẩm</t>
  </si>
  <si>
    <t>3. Thuế và các khoản khác phải thu Nhà nước</t>
  </si>
  <si>
    <t>4. Giao dịch mua bán lại trái phiếu Chính phủ</t>
  </si>
  <si>
    <t>5. Tài sản ngắn hạn khác</t>
  </si>
  <si>
    <t>Giá bán Bình quân thương mại</t>
  </si>
  <si>
    <t>B - TÀI SẢN DÀI HẠN (200=210+220+230+240+250+260)</t>
  </si>
  <si>
    <t>Cốt giấy Kraft</t>
  </si>
  <si>
    <t>I. Các khoản phải thu dài hạn</t>
  </si>
  <si>
    <t>1. Khoản phải thu thương mại dài hạn</t>
  </si>
  <si>
    <t>Giấy melamine</t>
  </si>
  <si>
    <t>2. Trả trước cho người bán dài hạn</t>
  </si>
  <si>
    <t>3. Vốn lưu động ở các đơn vị trực thuộc</t>
  </si>
  <si>
    <t>Đơn giá vốn</t>
  </si>
  <si>
    <t>4. Phải thu nội bộ dài hạn</t>
  </si>
  <si>
    <t>5. Phải thu về cho vay dài hạn</t>
  </si>
  <si>
    <t>6. Phải thu dài hạn khác</t>
  </si>
  <si>
    <t>7. Dự phòng phải thu dài hạn khó đòi (*)</t>
  </si>
  <si>
    <t>II. Tài sản cố định</t>
  </si>
  <si>
    <t xml:space="preserve">Giá vốn thương mại </t>
  </si>
  <si>
    <t>Gỗ nhựa</t>
  </si>
  <si>
    <t>1. TSCĐ hữu hình</t>
  </si>
  <si>
    <t>E</t>
  </si>
  <si>
    <t>- Nguyên giá</t>
  </si>
  <si>
    <t>Lãi gộp</t>
  </si>
  <si>
    <t>- Giá trị hao mòn lũy kế (*)</t>
  </si>
  <si>
    <t>2. TSCĐ thuê tài chính</t>
  </si>
  <si>
    <t>III</t>
  </si>
  <si>
    <t>Doanh thu dịch vụ</t>
  </si>
  <si>
    <t>%</t>
  </si>
  <si>
    <t>Chi phí vận chuyển</t>
  </si>
  <si>
    <t>3. TSCĐ vô hình</t>
  </si>
  <si>
    <t>Thuê địa điểm</t>
  </si>
  <si>
    <t>F</t>
  </si>
  <si>
    <t>Doanh thu tài chính</t>
  </si>
  <si>
    <t>Cho thuế điện</t>
  </si>
  <si>
    <t>III. Bất động sản đầu tư</t>
  </si>
  <si>
    <t>G</t>
  </si>
  <si>
    <t>Chi phí tài chính</t>
  </si>
  <si>
    <t>Đơn giá vốn thương mại</t>
  </si>
  <si>
    <t>IV</t>
  </si>
  <si>
    <t>Doanh thu sản xuất Minh Long QN</t>
  </si>
  <si>
    <t>IV. Tài sản dở dang dài hạn</t>
  </si>
  <si>
    <t>1. Chi phí sản xuất, kinh doanh dở dang dài hạn</t>
  </si>
  <si>
    <t>H</t>
  </si>
  <si>
    <t>Chi phí quản lý</t>
  </si>
  <si>
    <t>2. Chi phí xây dựng cơ bản dở dang</t>
  </si>
  <si>
    <t>V. Đầu tư tài chính dài hạn</t>
  </si>
  <si>
    <t>1. Đầu tư vào công ty con</t>
  </si>
  <si>
    <t>Chi phí bán hàng</t>
  </si>
  <si>
    <t>2. Đầu tư vào công ty liên kết, liên doanh</t>
  </si>
  <si>
    <t>3. Đầu tư góp vốn vào đơn vị khác</t>
  </si>
  <si>
    <t>K</t>
  </si>
  <si>
    <t>LN thuần từ HĐKD</t>
  </si>
  <si>
    <t>4. Dự phòng đầu tư tài chính dài hạn (*)</t>
  </si>
  <si>
    <t>5. Đầu tư nắm giữ đến ngày đáo hạn</t>
  </si>
  <si>
    <t>VI. Tài sản dài hạn khác</t>
  </si>
  <si>
    <t>1. Chi phí trả trước dài hạn</t>
  </si>
  <si>
    <t>2. Tài sản thuế thu nhập hoãn lại</t>
  </si>
  <si>
    <t>Thu nhập khác</t>
  </si>
  <si>
    <t>3. Thiết bị, vật tư, phụ tùng thay thế dài hạn</t>
  </si>
  <si>
    <t>4. Tài sản dài hạn khác</t>
  </si>
  <si>
    <t>Chi phí khác</t>
  </si>
  <si>
    <t>5. Ký quỹ dài hạn</t>
  </si>
  <si>
    <t>6. Lợi thế thương mại</t>
  </si>
  <si>
    <t>L</t>
  </si>
  <si>
    <t>LN khác</t>
  </si>
  <si>
    <t>TỔNG CỘNG TÀI SẢN (270=100+200)</t>
  </si>
  <si>
    <t>C - NỢ PHẢI TRẢ (300=310+330)</t>
  </si>
  <si>
    <t>M</t>
  </si>
  <si>
    <t>I. Nợ ngắn hạn</t>
  </si>
  <si>
    <t>LN Trước thuế</t>
  </si>
  <si>
    <t>1. Phải trả người bán ngắn hạn</t>
  </si>
  <si>
    <t>Khấu Hao</t>
  </si>
  <si>
    <t>2. Người mua trả tiền trước ngắn hạn</t>
  </si>
  <si>
    <t>EBITDA</t>
  </si>
  <si>
    <t>3. Thuế và các khoản phải nộp Nhà nước</t>
  </si>
  <si>
    <t>4. Phải trả người lao động</t>
  </si>
  <si>
    <t>DT</t>
  </si>
  <si>
    <t>GV</t>
  </si>
  <si>
    <t>5. Chi phí phải trả ngắn hạn</t>
  </si>
  <si>
    <t>LN GỘP</t>
  </si>
  <si>
    <t>CL</t>
  </si>
  <si>
    <t>6. Phải trả nội bộ ngắn hạn</t>
  </si>
  <si>
    <t>CPBH</t>
  </si>
  <si>
    <t>CPQL</t>
  </si>
  <si>
    <t>7. Phải trả theo tiến độ kế hoạch hợp đồng xây dựng</t>
  </si>
  <si>
    <t>8. Doanh thu chưa thực hiện ngắn hạn</t>
  </si>
  <si>
    <t>9. Phải trả ngắn hạn khác</t>
  </si>
  <si>
    <t>Phó Tổng Giám Đốc</t>
  </si>
  <si>
    <t>(trong đó: Chi phí lãi vay)</t>
  </si>
  <si>
    <t>10. Vay và nợ thuê tài chính ngắn hạn</t>
  </si>
  <si>
    <t>11. Dự phòng phải trả ngắn hạn</t>
  </si>
  <si>
    <t>12. Quỹ khen thưởng phúc lợi</t>
  </si>
  <si>
    <t>13. Quỹ bình ổn giá</t>
  </si>
  <si>
    <t>14. Giao dịch mua bán lại trái phiếu Chính phủ</t>
  </si>
  <si>
    <t>II. Nợ dài hạn</t>
  </si>
  <si>
    <t>1. Phải trả người bán dài hạn</t>
  </si>
  <si>
    <t>2. Người mua trả tiền trước dài hạn</t>
  </si>
  <si>
    <t>3. Chi phí phải trả dài hạn</t>
  </si>
  <si>
    <t>4. Phải trả nội bộ về vốn kinh doanh</t>
  </si>
  <si>
    <t>Thu/chi khác</t>
  </si>
  <si>
    <t>5. Phải trả dài hạn nội bộ</t>
  </si>
  <si>
    <t>6. Doanh thu chưa thực hiện dài hạn</t>
  </si>
  <si>
    <t>7. Phải trả dài hạn khác</t>
  </si>
  <si>
    <t>8. Vay và nợ thuê tài chính dài hạn</t>
  </si>
  <si>
    <t>9. Trái phiếu chuyển đổi</t>
  </si>
  <si>
    <t>Thuế</t>
  </si>
  <si>
    <t>10. Cổ phiếu ưu đãi</t>
  </si>
  <si>
    <t>11. Thuế  thu nhập hoãn lại phải trả</t>
  </si>
  <si>
    <t>12. Dự phòng phải trả dài hạn</t>
  </si>
  <si>
    <t>13. Quỹ phát triển khoa học và công nghệ</t>
  </si>
  <si>
    <t>D - VỐN CHỦ SỞ HỮU (400=410+420)</t>
  </si>
  <si>
    <t>N</t>
  </si>
  <si>
    <t>EBIT</t>
  </si>
  <si>
    <t>I. Vốn chủ sở hữu</t>
  </si>
  <si>
    <t>Thu/Chi</t>
  </si>
  <si>
    <t>1. Vốn góp chủ sở hữu</t>
  </si>
  <si>
    <t>O</t>
  </si>
  <si>
    <t>411a</t>
  </si>
  <si>
    <t>- Cổ phiếu phổ thông có quyền biểu quyết</t>
  </si>
  <si>
    <t>DÒNG TIỀN TỪ HOẠT ĐỘNG KINH DOANH</t>
  </si>
  <si>
    <t>Lợi nhuận ròng</t>
  </si>
  <si>
    <t>thu</t>
  </si>
  <si>
    <t>411b</t>
  </si>
  <si>
    <t>- Cổ phiếu ưu đãi</t>
  </si>
  <si>
    <t>Khấu hao tài sản cố định</t>
  </si>
  <si>
    <t>chi</t>
  </si>
  <si>
    <t>2. Thặng dư vốn cổ phần</t>
  </si>
  <si>
    <t>3. Quyền chọn chuyển đổi trái phiếu</t>
  </si>
  <si>
    <t>Dự phòng</t>
  </si>
  <si>
    <t>4. Vốn khác của chủ sở hữu</t>
  </si>
  <si>
    <t>Biến động vốn lưu động</t>
  </si>
  <si>
    <t>Tăng các khoản phải thu</t>
  </si>
  <si>
    <t>5. Cổ phiếu quỹ (*)</t>
  </si>
  <si>
    <t>Giảm các khoản phải thu</t>
  </si>
  <si>
    <t>6. Chênh lệch đánh giá lại tài sản</t>
  </si>
  <si>
    <t>Tăng hàng tồn kho</t>
  </si>
  <si>
    <t>Giảm hàng tồn kho</t>
  </si>
  <si>
    <t>7. Chênh lệch tỷ giá hối đoái</t>
  </si>
  <si>
    <t>Tăng các khoản phải trả</t>
  </si>
  <si>
    <t>Giảm các phải trả</t>
  </si>
  <si>
    <t>8. Quỹ đầu tư phát triển</t>
  </si>
  <si>
    <t>Các khoản điều chỉnh khác</t>
  </si>
  <si>
    <t>9. Quỹ hỗ trợ sắp xếp doanh nghiệp</t>
  </si>
  <si>
    <t>10. Quỹ khác thuộc vốn chủ sở hữu</t>
  </si>
  <si>
    <t>Dòng tiền thuần từ hoạt động kinh doanh</t>
  </si>
  <si>
    <t>DÒNG TIỀN TỪ HOẠT ĐỘNG ĐẦU TƯ</t>
  </si>
  <si>
    <t>Tiền chi để mua sắm, xây dựng tài sản cố định và các tài sản dài hạn khác</t>
  </si>
  <si>
    <t>11. Lợi nhuận sau thuế chưa phân phối</t>
  </si>
  <si>
    <t>Tiền thu từ thanh lý, nhượng bán tài sản cố định và tài sản dài hạn khác</t>
  </si>
  <si>
    <t>Tiền chi cho vay, mua công cụ nợ của các đơn vị khác</t>
  </si>
  <si>
    <t>Tiền thu hồi cho vay và thu từ bán công cụ nợ của các đơn vị khác</t>
  </si>
  <si>
    <t>Tiền chi đầu tư vốn cổ phần vào đơn vị khác</t>
  </si>
  <si>
    <t>Tiền thu từ thoái vốn cổ phần tại đơn vị khác</t>
  </si>
  <si>
    <t>Tiền thu từ lãi và cổ tức được nhận</t>
  </si>
  <si>
    <t>Dòng tiền thuần từ hoạt động đầu tư</t>
  </si>
  <si>
    <t>DÒNG TIỀN TỪ HOẠT ĐỘNG TÀI CHÍNH</t>
  </si>
  <si>
    <t>Tiền thu từ phát hành cổ phiếu, vốn góp của chủ sở hữu</t>
  </si>
  <si>
    <t>Tiền chi do rút vốn, mua lại cổ phiếu đã phát hành</t>
  </si>
  <si>
    <t>421a</t>
  </si>
  <si>
    <t>- LNST chưa phân phối lũy kế đến cuối kỳ trước</t>
  </si>
  <si>
    <t>420a</t>
  </si>
  <si>
    <t>Tiền thu từ đi vay</t>
  </si>
  <si>
    <t>Tiền chi trả nợ gốc vay</t>
  </si>
  <si>
    <t>Tiền chi trả cho thuê tài chính</t>
  </si>
  <si>
    <t>Cổ tức và lợi nhuận đã trả cho cổ đông</t>
  </si>
  <si>
    <t>Tiền thu/ (chi) từ vay ngắn hạn</t>
  </si>
  <si>
    <t>Tiền thu/ (chi) từ vay dài hạn</t>
  </si>
  <si>
    <t>421b</t>
  </si>
  <si>
    <t>- LNST chưa phân phối kỳ này</t>
  </si>
  <si>
    <t>Các hoạt động tài chính khác</t>
  </si>
  <si>
    <t>420b</t>
  </si>
  <si>
    <t>Dòng tiền thuần từ hoạt động tài chính</t>
  </si>
  <si>
    <t>DÒNG TIỀN RÒNG TRONG NĂM</t>
  </si>
  <si>
    <t>Tiền và các khoản tương đương tiền đầu năm</t>
  </si>
  <si>
    <t>Ảnh hưởng của chênh lệch tỷ giá hối đoái</t>
  </si>
  <si>
    <t>Tiền và các khoản tương đương tiền cuối năm (70 = 50 + 60 + 61)</t>
  </si>
  <si>
    <t>12. Nguồn vốn đầu tư xây dựng cơ bản</t>
  </si>
  <si>
    <t>13. Lợi ích của cổ đông không kiểm soát</t>
  </si>
  <si>
    <t>II. Nguồn kinh phí và quỹ khác</t>
  </si>
  <si>
    <t>1. Nguồn kinh phí</t>
  </si>
  <si>
    <t>2. Nguồn kinh phí đã hình thành tscđ</t>
  </si>
  <si>
    <t>Mã</t>
  </si>
  <si>
    <t>Tên</t>
  </si>
  <si>
    <t>Vong_quay_phai_thu</t>
  </si>
  <si>
    <t>Vòng quay khoản phải thu</t>
  </si>
  <si>
    <t>Vong_quay_ton_kho</t>
  </si>
  <si>
    <t>Vòng quay hàng tồn kho</t>
  </si>
  <si>
    <t>Vong_quay_phai_tra</t>
  </si>
  <si>
    <t>Vòng quay khoản phải trả</t>
  </si>
  <si>
    <t>So_ngay_phai_thu</t>
  </si>
  <si>
    <t>Số ngày phải thu</t>
  </si>
  <si>
    <t>TỔNG CỘNG NGUỒN VỐN (440=300+400)</t>
  </si>
  <si>
    <t>So_ngay_hang_ton_kho</t>
  </si>
  <si>
    <t>Số ngày hàng tồn kho</t>
  </si>
  <si>
    <t>So_ngay_phai_tra</t>
  </si>
  <si>
    <t>Số ngày phải trả</t>
  </si>
  <si>
    <t>Chu_ky_tien_mat</t>
  </si>
  <si>
    <t>Chu kỳ tiền mặt</t>
  </si>
  <si>
    <t xml:space="preserve">HẠN MỨC TÍN DỤNG NGẮN HẠN </t>
  </si>
  <si>
    <t>Đơn vị : 1.000.000đ</t>
  </si>
  <si>
    <t>Doanh thu (dự kiến bằng 90% doanh thu đề ra)</t>
  </si>
  <si>
    <t>Chí phí giá vốn không gồm khấu hao:</t>
  </si>
  <si>
    <t>Chi phí quản lý bán hàng, chi phí sản xuất, chi phí khác</t>
  </si>
  <si>
    <t>Số ngày phải thu trung bình</t>
  </si>
  <si>
    <t>Số ngày tồn kho trung bình</t>
  </si>
  <si>
    <t>Số ngày sản xuất bình quân</t>
  </si>
  <si>
    <t>Số ngày vận chuyển , bán hàng</t>
  </si>
  <si>
    <t>Tỷ lệ KH ứng trước</t>
  </si>
  <si>
    <t>Theo đó:</t>
  </si>
  <si>
    <t>Tổng chi phí (không gồm khấu hao)</t>
  </si>
  <si>
    <t>Chu kỳ kinh doanh = Phải thu + Tồn kho + số ngày sản xuất
 + số ngày vận chuyển và bán hàng</t>
  </si>
  <si>
    <t>Số vòng quay vốn lưu động trong năm</t>
  </si>
  <si>
    <t>Nhu cầu vốn lưu động cho 1 vòng 
= Tổng chi phí không gồm khấu hao / số vòng trong năm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</si>
</sst>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_(* #,##0.000_);_(* \(#,##0.000\);_(* &quot;-&quot;??_);_(@_)"/>
    <numFmt numFmtId="166" formatCode="_(* #,##0.000_);_(* \(#,##0.000\);_(* &quot;-&quot;???_);_(@_)"/>
    <numFmt numFmtId="167" formatCode="_(* #,##0.00_);_(* \(#,##0.00\);_(* &quot;-&quot;??_);_(@_)"/>
  </numFmts>
  <fonts count="28">
    <font>
      <sz val="11.0"/>
      <color theme="1"/>
      <name val="Calibri"/>
      <scheme val="minor"/>
    </font>
    <font>
      <b/>
      <sz val="12.0"/>
      <color theme="0"/>
      <name val="Times New Roman"/>
    </font>
    <font>
      <b/>
      <sz val="18.0"/>
      <color theme="1"/>
      <name val="Times New Roman"/>
    </font>
    <font>
      <b/>
      <sz val="12.0"/>
      <color rgb="FFFFFFFF"/>
      <name val="Times New Roman"/>
    </font>
    <font>
      <color theme="1"/>
      <name val="Times New Roman"/>
    </font>
    <font>
      <sz val="11.0"/>
      <color theme="1"/>
      <name val="Times New Roman"/>
    </font>
    <font>
      <sz val="11.0"/>
      <color theme="1"/>
      <name val="Calibri"/>
    </font>
    <font>
      <sz val="12.0"/>
      <color theme="1"/>
      <name val="Times New Roman"/>
    </font>
    <font>
      <b/>
      <sz val="12.0"/>
      <color theme="1"/>
      <name val="Times New Roman"/>
    </font>
    <font>
      <sz val="12.0"/>
      <color rgb="FF000000"/>
      <name val="Times New Roman"/>
    </font>
    <font>
      <b/>
      <sz val="14.0"/>
      <color theme="0"/>
      <name val="Times New Roman"/>
    </font>
    <font/>
    <font>
      <sz val="14.0"/>
      <color theme="0"/>
      <name val="Times New Roman"/>
    </font>
    <font>
      <b/>
      <sz val="12.0"/>
      <color rgb="FF000000"/>
      <name val="Times New Roman"/>
    </font>
    <font>
      <b/>
      <sz val="14.0"/>
      <color rgb="FFFFFFFF"/>
      <name val="Times New Roman"/>
    </font>
    <font>
      <b/>
      <i/>
      <sz val="12.0"/>
      <color rgb="FF000000"/>
      <name val="Times New Roman"/>
    </font>
    <font>
      <b/>
      <i/>
      <sz val="12.0"/>
      <color theme="1"/>
      <name val="Times New Roman"/>
    </font>
    <font>
      <i/>
      <sz val="12.0"/>
      <color rgb="FF000000"/>
      <name val="Times New Roman"/>
    </font>
    <font>
      <i/>
      <sz val="12.0"/>
      <color theme="1"/>
      <name val="Times New Roman"/>
    </font>
    <font>
      <i/>
      <sz val="11.0"/>
      <color theme="1"/>
      <name val="Calibri"/>
    </font>
    <font>
      <i/>
      <sz val="11.0"/>
      <color theme="1"/>
      <name val="Times New Roman"/>
    </font>
    <font>
      <b/>
      <sz val="12.0"/>
      <color rgb="FFFF0000"/>
      <name val="Times New Roman"/>
    </font>
    <font>
      <sz val="12.0"/>
      <color rgb="FFFF0000"/>
      <name val="Times New Roman"/>
    </font>
    <font>
      <sz val="13.0"/>
      <color theme="1"/>
      <name val="Times New Roman"/>
    </font>
    <font>
      <color theme="1"/>
      <name val="Calibri"/>
    </font>
    <font>
      <sz val="18.0"/>
      <color theme="1"/>
      <name val="Times New Roman"/>
    </font>
    <font>
      <b/>
      <sz val="11.0"/>
      <color theme="1"/>
      <name val="Calibri"/>
    </font>
    <font>
      <sz val="13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548DD4"/>
        <bgColor rgb="FF548DD4"/>
      </patternFill>
    </fill>
    <fill>
      <patternFill patternType="solid">
        <fgColor rgb="FFB8CCE4"/>
        <bgColor rgb="FFB8CCE4"/>
      </patternFill>
    </fill>
    <fill>
      <patternFill patternType="solid">
        <fgColor rgb="FFFFCC00"/>
        <bgColor rgb="FFFFCC00"/>
      </patternFill>
    </fill>
    <fill>
      <patternFill patternType="solid">
        <fgColor rgb="FFFDE9D9"/>
        <bgColor rgb="FFFDE9D9"/>
      </patternFill>
    </fill>
    <fill>
      <patternFill patternType="solid">
        <fgColor rgb="FFC9DAF8"/>
        <bgColor rgb="FFC9DAF8"/>
      </patternFill>
    </fill>
  </fills>
  <borders count="26">
    <border/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thick">
        <color rgb="FF000000"/>
      </left>
    </border>
    <border>
      <left style="double">
        <color rgb="FF000000"/>
      </left>
      <right style="double">
        <color rgb="FF000000"/>
      </right>
    </border>
    <border>
      <left/>
      <right/>
      <top/>
    </border>
    <border>
      <left/>
      <right/>
    </border>
    <border>
      <left style="double">
        <color rgb="FF000000"/>
      </left>
      <right style="double">
        <color rgb="FF000000"/>
      </right>
      <top/>
      <bottom/>
    </border>
    <border>
      <left/>
      <right/>
      <top/>
      <bottom/>
    </border>
    <border>
      <left style="double">
        <color rgb="FF000000"/>
      </left>
      <right style="double">
        <color rgb="FF000000"/>
      </right>
      <top/>
      <bottom style="double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right style="double">
        <color rgb="FF000000"/>
      </right>
      <top style="thick">
        <color rgb="FF000000"/>
      </top>
      <bottom style="thick">
        <color rgb="FF000000"/>
      </bottom>
    </border>
    <border>
      <left style="double">
        <color rgb="FF000000"/>
      </left>
      <right style="double">
        <color rgb="FF000000"/>
      </right>
      <top style="thick">
        <color rgb="FF000000"/>
      </top>
      <bottom style="thick">
        <color rgb="FF000000"/>
      </bottom>
    </border>
    <border>
      <left style="double">
        <color rgb="FF000000"/>
      </left>
      <right style="double">
        <color rgb="FF000000"/>
      </right>
      <bottom style="double">
        <color rgb="FF000000"/>
      </bottom>
    </border>
    <border>
      <left style="double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double">
        <color rgb="FF000000"/>
      </right>
    </border>
    <border>
      <left style="double">
        <color rgb="FF000000"/>
      </left>
      <right style="double">
        <color rgb="FF000000"/>
      </right>
      <bottom style="thick">
        <color rgb="FF000000"/>
      </bottom>
    </border>
    <border>
      <left style="double">
        <color rgb="FF000000"/>
      </left>
      <top/>
      <bottom style="double">
        <color rgb="FF000000"/>
      </bottom>
    </border>
    <border>
      <left style="thick">
        <color rgb="FF000000"/>
      </left>
      <right style="double">
        <color rgb="FF000000"/>
      </right>
      <top/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</border>
    <border>
      <left style="double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double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0"/>
    </xf>
    <xf borderId="0" fillId="0" fontId="2" numFmtId="0" xfId="0" applyAlignment="1" applyFont="1">
      <alignment horizontal="center" shrinkToFit="0" vertical="bottom" wrapText="0"/>
    </xf>
    <xf borderId="1" fillId="2" fontId="3" numFmtId="3" xfId="0" applyAlignment="1" applyBorder="1" applyFill="1" applyFont="1" applyNumberFormat="1">
      <alignment horizontal="center" shrinkToFit="0" wrapText="0"/>
    </xf>
    <xf borderId="0" fillId="0" fontId="4" numFmtId="0" xfId="0" applyFont="1"/>
    <xf borderId="0" fillId="0" fontId="5" numFmtId="164" xfId="0" applyAlignment="1" applyFont="1" applyNumberFormat="1">
      <alignment shrinkToFit="0" vertical="bottom" wrapText="0"/>
    </xf>
    <xf borderId="0" fillId="0" fontId="6" numFmtId="9" xfId="0" applyAlignment="1" applyFont="1" applyNumberFormat="1">
      <alignment shrinkToFit="0" vertical="bottom" wrapText="0"/>
    </xf>
    <xf borderId="0" fillId="0" fontId="7" numFmtId="0" xfId="0" applyAlignment="1" applyFont="1">
      <alignment vertical="center"/>
    </xf>
    <xf borderId="0" fillId="0" fontId="5" numFmtId="9" xfId="0" applyAlignment="1" applyFont="1" applyNumberFormat="1">
      <alignment shrinkToFit="0" vertical="bottom" wrapText="0"/>
    </xf>
    <xf borderId="0" fillId="0" fontId="8" numFmtId="0" xfId="0" applyAlignment="1" applyFont="1">
      <alignment horizontal="center" shrinkToFit="0" vertical="center" wrapText="1"/>
    </xf>
    <xf borderId="2" fillId="0" fontId="8" numFmtId="0" xfId="0" applyAlignment="1" applyBorder="1" applyFont="1">
      <alignment horizontal="left" shrinkToFit="0" vertical="center" wrapText="1"/>
    </xf>
    <xf borderId="0" fillId="0" fontId="9" numFmtId="3" xfId="0" applyAlignment="1" applyFont="1" applyNumberFormat="1">
      <alignment horizontal="right" shrinkToFit="0" wrapText="0"/>
    </xf>
    <xf borderId="3" fillId="0" fontId="7" numFmtId="164" xfId="0" applyAlignment="1" applyBorder="1" applyFont="1" applyNumberFormat="1">
      <alignment horizontal="center" shrinkToFit="0" vertical="center" wrapText="0"/>
    </xf>
    <xf borderId="4" fillId="2" fontId="10" numFmtId="164" xfId="0" applyAlignment="1" applyBorder="1" applyFill="1" applyFont="1" applyNumberFormat="1">
      <alignment horizontal="center" shrinkToFit="0" vertical="center" wrapText="1"/>
    </xf>
    <xf borderId="1" fillId="2" fontId="10" numFmtId="0" xfId="0" applyAlignment="1" applyBorder="1" applyFill="1" applyFont="1">
      <alignment horizontal="center" shrinkToFit="0" vertical="center" wrapText="0"/>
    </xf>
    <xf borderId="5" fillId="0" fontId="11" numFmtId="0" xfId="0" applyBorder="1" applyFont="1"/>
    <xf borderId="1" fillId="2" fontId="12" numFmtId="0" xfId="0" applyAlignment="1" applyBorder="1" applyFill="1" applyFont="1">
      <alignment horizontal="center" shrinkToFit="0" vertical="center" wrapText="0"/>
    </xf>
    <xf borderId="0" fillId="0" fontId="13" numFmtId="3" xfId="0" applyAlignment="1" applyFont="1" applyNumberFormat="1">
      <alignment horizontal="right" shrinkToFit="0" wrapText="0"/>
    </xf>
    <xf borderId="3" fillId="0" fontId="8" numFmtId="164" xfId="0" applyAlignment="1" applyBorder="1" applyFont="1" applyNumberFormat="1">
      <alignment horizontal="center" shrinkToFit="0" vertical="center" wrapText="0"/>
    </xf>
    <xf borderId="1" fillId="2" fontId="10" numFmtId="164" xfId="0" applyAlignment="1" applyBorder="1" applyFill="1" applyFont="1" applyNumberFormat="1">
      <alignment horizontal="center" shrinkToFit="0" vertical="center" wrapText="0"/>
    </xf>
    <xf borderId="1" fillId="2" fontId="14" numFmtId="164" xfId="0" applyAlignment="1" applyBorder="1" applyFill="1" applyFont="1" applyNumberFormat="1">
      <alignment horizontal="center" shrinkToFit="0" vertical="center" wrapText="0"/>
    </xf>
    <xf borderId="6" fillId="3" fontId="8" numFmtId="0" xfId="0" applyAlignment="1" applyBorder="1" applyFill="1" applyFont="1">
      <alignment horizontal="center" shrinkToFit="0" vertical="bottom" wrapText="0"/>
    </xf>
    <xf borderId="6" fillId="3" fontId="8" numFmtId="0" xfId="0" applyAlignment="1" applyBorder="1" applyFill="1" applyFont="1">
      <alignment shrinkToFit="0" vertical="bottom" wrapText="0"/>
    </xf>
    <xf borderId="6" fillId="3" fontId="7" numFmtId="0" xfId="0" applyAlignment="1" applyBorder="1" applyFill="1" applyFont="1">
      <alignment horizontal="center" shrinkToFit="0" vertical="bottom" wrapText="0"/>
    </xf>
    <xf borderId="0" fillId="0" fontId="7" numFmtId="0" xfId="0" applyAlignment="1" applyFont="1">
      <alignment horizontal="center" shrinkToFit="0" vertical="center" wrapText="1"/>
    </xf>
    <xf borderId="2" fillId="0" fontId="7" numFmtId="0" xfId="0" applyAlignment="1" applyBorder="1" applyFont="1">
      <alignment horizontal="left" shrinkToFit="0" vertical="center" wrapText="1"/>
    </xf>
    <xf borderId="3" fillId="3" fontId="13" numFmtId="164" xfId="0" applyAlignment="1" applyBorder="1" applyFill="1" applyFont="1" applyNumberFormat="1">
      <alignment horizontal="center" shrinkToFit="0" wrapText="0"/>
    </xf>
    <xf borderId="6" fillId="3" fontId="8" numFmtId="164" xfId="0" applyAlignment="1" applyBorder="1" applyFill="1" applyFont="1" applyNumberFormat="1">
      <alignment horizontal="center" shrinkToFit="0" vertical="center" wrapText="0"/>
    </xf>
    <xf borderId="7" fillId="4" fontId="6" numFmtId="9" xfId="0" applyAlignment="1" applyBorder="1" applyFill="1" applyFont="1" applyNumberFormat="1">
      <alignment shrinkToFit="0" vertical="bottom" wrapText="0"/>
    </xf>
    <xf borderId="3" fillId="0" fontId="7" numFmtId="0" xfId="0" applyAlignment="1" applyBorder="1" applyFont="1">
      <alignment horizontal="center" shrinkToFit="0" vertical="bottom" wrapText="0"/>
    </xf>
    <xf borderId="3" fillId="0" fontId="7" numFmtId="0" xfId="0" applyAlignment="1" applyBorder="1" applyFont="1">
      <alignment shrinkToFit="0" vertical="bottom" wrapText="0"/>
    </xf>
    <xf borderId="6" fillId="5" fontId="8" numFmtId="0" xfId="0" applyAlignment="1" applyBorder="1" applyFill="1" applyFont="1">
      <alignment horizontal="center" shrinkToFit="0" vertical="bottom" wrapText="0"/>
    </xf>
    <xf borderId="6" fillId="5" fontId="8" numFmtId="0" xfId="0" applyAlignment="1" applyBorder="1" applyFill="1" applyFont="1">
      <alignment shrinkToFit="0" vertical="bottom" wrapText="0"/>
    </xf>
    <xf borderId="0" fillId="0" fontId="15" numFmtId="3" xfId="0" applyAlignment="1" applyFont="1" applyNumberFormat="1">
      <alignment horizontal="right" shrinkToFit="0" wrapText="0"/>
    </xf>
    <xf borderId="3" fillId="5" fontId="13" numFmtId="164" xfId="0" applyAlignment="1" applyBorder="1" applyFill="1" applyFont="1" applyNumberFormat="1">
      <alignment horizontal="center" shrinkToFit="0" wrapText="0"/>
    </xf>
    <xf borderId="3" fillId="0" fontId="16" numFmtId="165" xfId="0" applyAlignment="1" applyBorder="1" applyFont="1" applyNumberFormat="1">
      <alignment horizontal="center" shrinkToFit="0" vertical="center" wrapText="0"/>
    </xf>
    <xf borderId="0" fillId="0" fontId="6" numFmtId="164" xfId="0" applyAlignment="1" applyFont="1" applyNumberFormat="1">
      <alignment shrinkToFit="0" vertical="bottom" wrapText="0"/>
    </xf>
    <xf borderId="6" fillId="5" fontId="8" numFmtId="164" xfId="0" applyAlignment="1" applyBorder="1" applyFill="1" applyFont="1" applyNumberFormat="1">
      <alignment horizontal="center" shrinkToFit="0" vertical="center" wrapText="0"/>
    </xf>
    <xf borderId="0" fillId="0" fontId="17" numFmtId="3" xfId="0" applyAlignment="1" applyFont="1" applyNumberFormat="1">
      <alignment horizontal="right" shrinkToFit="0" wrapText="0"/>
    </xf>
    <xf borderId="3" fillId="0" fontId="18" numFmtId="165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3" fillId="0" fontId="9" numFmtId="164" xfId="0" applyAlignment="1" applyBorder="1" applyFont="1" applyNumberFormat="1">
      <alignment horizontal="center" shrinkToFit="0" wrapText="0"/>
    </xf>
    <xf borderId="3" fillId="0" fontId="7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bottom" wrapText="0"/>
    </xf>
    <xf borderId="3" fillId="0" fontId="8" numFmtId="0" xfId="0" applyAlignment="1" applyBorder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3" fillId="0" fontId="7" numFmtId="165" xfId="0" applyAlignment="1" applyBorder="1" applyFont="1" applyNumberFormat="1">
      <alignment horizontal="center" shrinkToFit="0" vertical="center" wrapText="0"/>
    </xf>
    <xf borderId="3" fillId="0" fontId="16" numFmtId="0" xfId="0" applyAlignment="1" applyBorder="1" applyFont="1">
      <alignment horizontal="center" shrinkToFit="0" vertical="bottom" wrapText="0"/>
    </xf>
    <xf borderId="3" fillId="0" fontId="16" numFmtId="0" xfId="0" applyAlignment="1" applyBorder="1" applyFont="1">
      <alignment shrinkToFit="0" vertical="bottom" wrapText="0"/>
    </xf>
    <xf borderId="0" fillId="0" fontId="19" numFmtId="0" xfId="0" applyAlignment="1" applyFont="1">
      <alignment shrinkToFit="0" vertical="bottom" wrapText="0"/>
    </xf>
    <xf borderId="3" fillId="0" fontId="18" numFmtId="0" xfId="0" applyAlignment="1" applyBorder="1" applyFont="1">
      <alignment horizontal="center" shrinkToFit="0" vertical="bottom" wrapText="0"/>
    </xf>
    <xf borderId="0" fillId="0" fontId="19" numFmtId="166" xfId="0" applyAlignment="1" applyFont="1" applyNumberFormat="1">
      <alignment shrinkToFit="0" vertical="bottom" wrapText="0"/>
    </xf>
    <xf borderId="0" fillId="0" fontId="20" numFmtId="0" xfId="0" applyAlignment="1" applyFont="1">
      <alignment shrinkToFit="0" vertical="bottom" wrapText="0"/>
    </xf>
    <xf borderId="3" fillId="0" fontId="18" numFmtId="0" xfId="0" applyAlignment="1" applyBorder="1" applyFont="1">
      <alignment shrinkToFit="0" vertical="bottom" wrapText="0"/>
    </xf>
    <xf borderId="3" fillId="0" fontId="18" numFmtId="164" xfId="0" applyAlignment="1" applyBorder="1" applyFont="1" applyNumberFormat="1">
      <alignment horizontal="center" shrinkToFit="0" vertical="center" wrapText="0"/>
    </xf>
    <xf borderId="3" fillId="0" fontId="18" numFmtId="167" xfId="0" applyAlignment="1" applyBorder="1" applyFont="1" applyNumberFormat="1">
      <alignment horizontal="center" shrinkToFit="0" vertical="center" wrapText="0"/>
    </xf>
    <xf borderId="0" fillId="0" fontId="20" numFmtId="167" xfId="0" applyAlignment="1" applyFont="1" applyNumberFormat="1">
      <alignment shrinkToFit="0" vertical="bottom" wrapText="0"/>
    </xf>
    <xf borderId="3" fillId="0" fontId="7" numFmtId="9" xfId="0" applyAlignment="1" applyBorder="1" applyFont="1" applyNumberFormat="1">
      <alignment horizontal="center" shrinkToFit="0" vertical="center" wrapText="0"/>
    </xf>
    <xf borderId="3" fillId="0" fontId="17" numFmtId="164" xfId="0" applyAlignment="1" applyBorder="1" applyFont="1" applyNumberFormat="1">
      <alignment horizontal="center" shrinkToFit="0" wrapText="0"/>
    </xf>
    <xf borderId="2" fillId="0" fontId="8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shrinkToFit="0" vertical="center" wrapText="1"/>
    </xf>
    <xf borderId="6" fillId="3" fontId="8" numFmtId="0" xfId="0" applyAlignment="1" applyBorder="1" applyFill="1" applyFont="1">
      <alignment horizontal="center" shrinkToFit="0" vertical="center" wrapText="0"/>
    </xf>
    <xf borderId="6" fillId="3" fontId="8" numFmtId="0" xfId="0" applyAlignment="1" applyBorder="1" applyFill="1" applyFont="1">
      <alignment shrinkToFit="0" vertical="center" wrapText="0"/>
    </xf>
    <xf borderId="6" fillId="3" fontId="7" numFmtId="0" xfId="0" applyAlignment="1" applyBorder="1" applyFill="1" applyFont="1">
      <alignment horizontal="center" shrinkToFit="0" vertical="center" wrapText="0"/>
    </xf>
    <xf borderId="3" fillId="0" fontId="13" numFmtId="164" xfId="0" applyAlignment="1" applyBorder="1" applyFont="1" applyNumberFormat="1">
      <alignment horizontal="center" shrinkToFit="0" wrapText="0"/>
    </xf>
    <xf borderId="3" fillId="0" fontId="15" numFmtId="165" xfId="0" applyAlignment="1" applyBorder="1" applyFont="1" applyNumberFormat="1">
      <alignment horizontal="center" shrinkToFit="0" wrapText="0"/>
    </xf>
    <xf borderId="3" fillId="0" fontId="17" numFmtId="165" xfId="0" applyAlignment="1" applyBorder="1" applyFont="1" applyNumberFormat="1">
      <alignment horizontal="center" shrinkToFit="0" wrapText="0"/>
    </xf>
    <xf borderId="6" fillId="3" fontId="21" numFmtId="0" xfId="0" applyAlignment="1" applyBorder="1" applyFill="1" applyFont="1">
      <alignment horizontal="center" shrinkToFit="0" vertical="center" wrapText="0"/>
    </xf>
    <xf borderId="6" fillId="3" fontId="21" numFmtId="0" xfId="0" applyAlignment="1" applyBorder="1" applyFill="1" applyFont="1">
      <alignment shrinkToFit="0" vertical="center" wrapText="0"/>
    </xf>
    <xf borderId="6" fillId="3" fontId="22" numFmtId="0" xfId="0" applyAlignment="1" applyBorder="1" applyFill="1" applyFont="1">
      <alignment horizontal="center" shrinkToFit="0" vertical="center" wrapText="0"/>
    </xf>
    <xf borderId="6" fillId="3" fontId="21" numFmtId="164" xfId="0" applyAlignment="1" applyBorder="1" applyFill="1" applyFont="1" applyNumberFormat="1">
      <alignment horizontal="center" shrinkToFit="0" vertical="center" wrapText="0"/>
    </xf>
    <xf borderId="8" fillId="3" fontId="8" numFmtId="0" xfId="0" applyAlignment="1" applyBorder="1" applyFill="1" applyFont="1">
      <alignment horizontal="center" shrinkToFit="0" vertical="bottom" wrapText="0"/>
    </xf>
    <xf borderId="8" fillId="3" fontId="8" numFmtId="0" xfId="0" applyAlignment="1" applyBorder="1" applyFill="1" applyFont="1">
      <alignment shrinkToFit="0" vertical="bottom" wrapText="0"/>
    </xf>
    <xf borderId="8" fillId="3" fontId="7" numFmtId="0" xfId="0" applyAlignment="1" applyBorder="1" applyFill="1" applyFont="1">
      <alignment horizontal="center" shrinkToFit="0" vertical="bottom" wrapText="0"/>
    </xf>
    <xf borderId="8" fillId="3" fontId="8" numFmtId="164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horizontal="center" shrinkToFit="0" vertical="center" wrapText="0"/>
    </xf>
    <xf borderId="0" fillId="0" fontId="24" numFmtId="0" xfId="0" applyFont="1"/>
    <xf borderId="0" fillId="0" fontId="6" numFmtId="10" xfId="0" applyAlignment="1" applyFont="1" applyNumberFormat="1">
      <alignment shrinkToFit="0" vertical="bottom" wrapText="0"/>
    </xf>
    <xf borderId="3" fillId="0" fontId="17" numFmtId="9" xfId="0" applyAlignment="1" applyBorder="1" applyFont="1" applyNumberFormat="1">
      <alignment horizontal="center" shrinkToFit="0" wrapText="0"/>
    </xf>
    <xf borderId="3" fillId="0" fontId="18" numFmtId="9" xfId="0" applyAlignment="1" applyBorder="1" applyFont="1" applyNumberFormat="1">
      <alignment horizontal="center" shrinkToFit="0" vertical="center" wrapText="0"/>
    </xf>
    <xf borderId="0" fillId="0" fontId="6" numFmtId="167" xfId="0" applyAlignment="1" applyFont="1" applyNumberFormat="1">
      <alignment shrinkToFit="0" vertical="bottom" wrapText="0"/>
    </xf>
    <xf borderId="0" fillId="0" fontId="25" numFmtId="0" xfId="0" applyAlignment="1" applyFont="1">
      <alignment horizontal="center" shrinkToFit="0" vertical="bottom" wrapText="0"/>
    </xf>
    <xf borderId="6" fillId="3" fontId="18" numFmtId="0" xfId="0" applyAlignment="1" applyBorder="1" applyFill="1" applyFont="1">
      <alignment shrinkToFit="0" vertical="bottom" wrapText="0"/>
    </xf>
    <xf borderId="3" fillId="3" fontId="17" numFmtId="164" xfId="0" applyAlignment="1" applyBorder="1" applyFill="1" applyFont="1" applyNumberFormat="1">
      <alignment horizontal="center" shrinkToFit="0" wrapText="0"/>
    </xf>
    <xf borderId="6" fillId="3" fontId="18" numFmtId="164" xfId="0" applyAlignment="1" applyBorder="1" applyFill="1" applyFont="1" applyNumberFormat="1">
      <alignment horizontal="center" shrinkToFit="0" vertical="center" wrapText="0"/>
    </xf>
    <xf borderId="3" fillId="3" fontId="8" numFmtId="0" xfId="0" applyAlignment="1" applyBorder="1" applyFill="1" applyFont="1">
      <alignment horizontal="center" shrinkToFit="0" vertical="center" wrapText="0"/>
    </xf>
    <xf borderId="3" fillId="3" fontId="8" numFmtId="0" xfId="0" applyAlignment="1" applyBorder="1" applyFill="1" applyFont="1">
      <alignment shrinkToFit="0" vertical="center" wrapText="0"/>
    </xf>
    <xf borderId="3" fillId="3" fontId="8" numFmtId="164" xfId="0" applyAlignment="1" applyBorder="1" applyFill="1" applyFont="1" applyNumberFormat="1">
      <alignment horizontal="center" shrinkToFit="0" vertical="center" wrapText="0"/>
    </xf>
    <xf borderId="6" fillId="3" fontId="13" numFmtId="0" xfId="0" applyAlignment="1" applyBorder="1" applyFill="1" applyFont="1">
      <alignment shrinkToFit="0" vertical="center" wrapText="0"/>
    </xf>
    <xf borderId="6" fillId="3" fontId="13" numFmtId="0" xfId="0" applyAlignment="1" applyBorder="1" applyFill="1" applyFont="1">
      <alignment horizontal="center" shrinkToFit="0" vertical="center" wrapText="0"/>
    </xf>
    <xf borderId="6" fillId="3" fontId="21" numFmtId="0" xfId="0" applyAlignment="1" applyBorder="1" applyFill="1" applyFont="1">
      <alignment horizontal="center" shrinkToFit="0" vertical="bottom" wrapText="0"/>
    </xf>
    <xf borderId="3" fillId="3" fontId="21" numFmtId="164" xfId="0" applyAlignment="1" applyBorder="1" applyFill="1" applyFont="1" applyNumberFormat="1">
      <alignment horizontal="center" shrinkToFit="0" wrapText="0"/>
    </xf>
    <xf borderId="3" fillId="0" fontId="8" numFmtId="165" xfId="0" applyAlignment="1" applyBorder="1" applyFont="1" applyNumberFormat="1">
      <alignment horizontal="center" shrinkToFit="0" vertical="center" wrapText="0"/>
    </xf>
    <xf borderId="9" fillId="2" fontId="1" numFmtId="164" xfId="0" applyAlignment="1" applyBorder="1" applyFill="1" applyFont="1" applyNumberFormat="1">
      <alignment horizontal="center" shrinkToFit="0" vertical="center" wrapText="0"/>
    </xf>
    <xf borderId="10" fillId="2" fontId="3" numFmtId="164" xfId="0" applyAlignment="1" applyBorder="1" applyFill="1" applyFont="1" applyNumberFormat="1">
      <alignment horizontal="center" shrinkToFit="0" vertical="center" wrapText="0"/>
    </xf>
    <xf borderId="11" fillId="2" fontId="1" numFmtId="164" xfId="0" applyAlignment="1" applyBorder="1" applyFill="1" applyFont="1" applyNumberFormat="1">
      <alignment horizontal="center" shrinkToFit="0" vertical="center" wrapText="0"/>
    </xf>
    <xf borderId="12" fillId="2" fontId="1" numFmtId="164" xfId="0" applyAlignment="1" applyBorder="1" applyFill="1" applyFont="1" applyNumberFormat="1">
      <alignment horizontal="center" shrinkToFit="0" vertical="center" wrapText="0"/>
    </xf>
    <xf borderId="13" fillId="3" fontId="13" numFmtId="164" xfId="0" applyAlignment="1" applyBorder="1" applyFill="1" applyFont="1" applyNumberFormat="1">
      <alignment horizontal="center" shrinkToFit="0" wrapText="0"/>
    </xf>
    <xf borderId="12" fillId="2" fontId="3" numFmtId="164" xfId="0" applyAlignment="1" applyBorder="1" applyFill="1" applyFont="1" applyNumberFormat="1">
      <alignment horizontal="center"/>
    </xf>
    <xf borderId="14" fillId="2" fontId="3" numFmtId="164" xfId="0" applyAlignment="1" applyBorder="1" applyFill="1" applyFont="1" applyNumberFormat="1">
      <alignment horizontal="center"/>
    </xf>
    <xf borderId="0" fillId="0" fontId="18" numFmtId="0" xfId="0" applyAlignment="1" applyFont="1">
      <alignment horizontal="center" shrinkToFit="0" vertical="center" wrapText="1"/>
    </xf>
    <xf borderId="0" fillId="0" fontId="7" numFmtId="0" xfId="0" applyFont="1"/>
    <xf borderId="2" fillId="0" fontId="18" numFmtId="0" xfId="0" applyAlignment="1" applyBorder="1" applyFont="1">
      <alignment shrinkToFit="0" vertical="center" wrapText="1"/>
    </xf>
    <xf borderId="15" fillId="0" fontId="7" numFmtId="0" xfId="0" applyBorder="1" applyFont="1"/>
    <xf borderId="16" fillId="0" fontId="7" numFmtId="164" xfId="0" applyAlignment="1" applyBorder="1" applyFont="1" applyNumberFormat="1">
      <alignment horizontal="center" shrinkToFit="0" vertical="center" wrapText="0"/>
    </xf>
    <xf borderId="16" fillId="0" fontId="8" numFmtId="164" xfId="0" applyAlignment="1" applyBorder="1" applyFont="1" applyNumberFormat="1">
      <alignment horizontal="center" shrinkToFit="0" vertical="center" wrapText="0"/>
    </xf>
    <xf borderId="16" fillId="0" fontId="16" numFmtId="165" xfId="0" applyAlignment="1" applyBorder="1" applyFont="1" applyNumberFormat="1">
      <alignment horizontal="center" shrinkToFit="0" vertical="center" wrapText="0"/>
    </xf>
    <xf borderId="0" fillId="0" fontId="5" numFmtId="10" xfId="0" applyAlignment="1" applyFont="1" applyNumberFormat="1">
      <alignment shrinkToFit="0" vertical="bottom" wrapText="0"/>
    </xf>
    <xf borderId="0" fillId="0" fontId="5" numFmtId="167" xfId="0" applyAlignment="1" applyFont="1" applyNumberFormat="1">
      <alignment shrinkToFit="0" vertical="bottom" wrapText="0"/>
    </xf>
    <xf borderId="16" fillId="0" fontId="18" numFmtId="165" xfId="0" applyAlignment="1" applyBorder="1" applyFont="1" applyNumberFormat="1">
      <alignment horizontal="center" shrinkToFit="0" vertical="center" wrapText="0"/>
    </xf>
    <xf borderId="2" fillId="0" fontId="26" numFmtId="0" xfId="0" applyAlignment="1" applyBorder="1" applyFont="1">
      <alignment horizontal="left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2" fillId="6" fontId="8" numFmtId="0" xfId="0" applyAlignment="1" applyBorder="1" applyFill="1" applyFont="1">
      <alignment horizontal="left" shrinkToFit="0" vertical="center" wrapText="1"/>
    </xf>
    <xf borderId="15" fillId="6" fontId="8" numFmtId="0" xfId="0" applyBorder="1" applyFill="1" applyFont="1"/>
    <xf borderId="16" fillId="6" fontId="8" numFmtId="164" xfId="0" applyAlignment="1" applyBorder="1" applyFill="1" applyFont="1" applyNumberFormat="1">
      <alignment horizontal="center" shrinkToFit="0" vertical="center" wrapText="0"/>
    </xf>
    <xf borderId="3" fillId="6" fontId="7" numFmtId="164" xfId="0" applyAlignment="1" applyBorder="1" applyFill="1" applyFont="1" applyNumberFormat="1">
      <alignment horizontal="center" shrinkToFit="0" vertical="center" wrapText="0"/>
    </xf>
    <xf borderId="2" fillId="6" fontId="7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bottom" wrapText="0"/>
    </xf>
    <xf borderId="3" fillId="0" fontId="7" numFmtId="164" xfId="0" applyAlignment="1" applyBorder="1" applyFont="1" applyNumberFormat="1">
      <alignment horizontal="left" shrinkToFit="0" vertical="center" wrapText="0"/>
    </xf>
    <xf borderId="2" fillId="0" fontId="7" numFmtId="164" xfId="0" applyAlignment="1" applyBorder="1" applyFont="1" applyNumberFormat="1">
      <alignment horizontal="left" shrinkToFit="0" vertical="center" wrapText="1"/>
    </xf>
    <xf borderId="3" fillId="0" fontId="16" numFmtId="165" xfId="0" applyAlignment="1" applyBorder="1" applyFont="1" applyNumberFormat="1">
      <alignment horizontal="left" shrinkToFit="0" vertical="center" wrapText="0"/>
    </xf>
    <xf borderId="3" fillId="0" fontId="18" numFmtId="165" xfId="0" applyAlignment="1" applyBorder="1" applyFont="1" applyNumberFormat="1">
      <alignment horizontal="left" shrinkToFit="0" vertical="center" wrapText="0"/>
    </xf>
    <xf borderId="0" fillId="0" fontId="25" numFmtId="0" xfId="0" applyAlignment="1" applyFont="1">
      <alignment shrinkToFit="0" vertical="bottom" wrapText="0"/>
    </xf>
    <xf borderId="17" fillId="0" fontId="16" numFmtId="165" xfId="0" applyAlignment="1" applyBorder="1" applyFont="1" applyNumberFormat="1">
      <alignment horizontal="left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27" numFmtId="0" xfId="0" applyAlignment="1" applyFont="1">
      <alignment horizontal="center" vertical="bottom"/>
    </xf>
    <xf borderId="0" fillId="0" fontId="27" numFmtId="164" xfId="0" applyAlignment="1" applyFont="1" applyNumberFormat="1">
      <alignment horizontal="center" vertical="bottom"/>
    </xf>
    <xf borderId="1" fillId="2" fontId="14" numFmtId="164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8" fillId="3" fontId="8" numFmtId="0" xfId="0" applyAlignment="1" applyBorder="1" applyFill="1" applyFont="1">
      <alignment horizontal="center" shrinkToFit="0" vertical="center" wrapText="0"/>
    </xf>
    <xf borderId="19" fillId="3" fontId="8" numFmtId="164" xfId="0" applyAlignment="1" applyBorder="1" applyFill="1" applyFont="1" applyNumberFormat="1">
      <alignment horizontal="left" shrinkToFit="0" vertical="center" wrapText="0"/>
    </xf>
    <xf borderId="20" fillId="3" fontId="13" numFmtId="3" xfId="0" applyAlignment="1" applyBorder="1" applyFill="1" applyFont="1" applyNumberFormat="1">
      <alignment horizontal="right" shrinkToFit="0" wrapText="0"/>
    </xf>
    <xf borderId="8" fillId="3" fontId="8" numFmtId="3" xfId="0" applyAlignment="1" applyBorder="1" applyFill="1" applyFont="1" applyNumberFormat="1">
      <alignment shrinkToFit="0" vertical="center" wrapText="0"/>
    </xf>
    <xf borderId="8" fillId="3" fontId="8" numFmtId="0" xfId="0" applyAlignment="1" applyBorder="1" applyFill="1" applyFont="1">
      <alignment shrinkToFit="0" vertical="center" wrapText="0"/>
    </xf>
    <xf borderId="0" fillId="0" fontId="7" numFmtId="3" xfId="0" applyAlignment="1" applyFont="1" applyNumberFormat="1">
      <alignment horizontal="right" vertical="center"/>
    </xf>
    <xf borderId="0" fillId="0" fontId="6" numFmtId="3" xfId="0" applyAlignment="1" applyFont="1" applyNumberFormat="1">
      <alignment shrinkToFit="0" vertical="bottom" wrapText="0"/>
    </xf>
    <xf borderId="21" fillId="0" fontId="6" numFmtId="0" xfId="0" applyAlignment="1" applyBorder="1" applyFont="1">
      <alignment shrinkToFit="0" vertical="bottom" wrapText="0"/>
    </xf>
    <xf borderId="21" fillId="0" fontId="6" numFmtId="3" xfId="0" applyAlignment="1" applyBorder="1" applyFont="1" applyNumberFormat="1">
      <alignment shrinkToFit="0" vertical="bottom" wrapText="0"/>
    </xf>
    <xf borderId="21" fillId="0" fontId="6" numFmtId="9" xfId="0" applyAlignment="1" applyBorder="1" applyFont="1" applyNumberFormat="1">
      <alignment shrinkToFit="0" vertical="bottom" wrapText="0"/>
    </xf>
    <xf borderId="15" fillId="0" fontId="8" numFmtId="0" xfId="0" applyBorder="1" applyFont="1"/>
    <xf borderId="22" fillId="0" fontId="8" numFmtId="164" xfId="0" applyAlignment="1" applyBorder="1" applyFont="1" applyNumberFormat="1">
      <alignment horizontal="left" shrinkToFit="0" vertical="center" wrapText="0"/>
    </xf>
    <xf borderId="22" fillId="0" fontId="7" numFmtId="164" xfId="0" applyAlignment="1" applyBorder="1" applyFont="1" applyNumberFormat="1">
      <alignment horizontal="left" shrinkToFit="0" vertical="center" wrapText="0"/>
    </xf>
    <xf borderId="22" fillId="0" fontId="16" numFmtId="165" xfId="0" applyAlignment="1" applyBorder="1" applyFont="1" applyNumberFormat="1">
      <alignment horizontal="left" shrinkToFit="0" vertical="center" wrapText="0"/>
    </xf>
    <xf borderId="22" fillId="0" fontId="18" numFmtId="165" xfId="0" applyAlignment="1" applyBorder="1" applyFont="1" applyNumberFormat="1">
      <alignment horizontal="left" shrinkToFit="0" vertical="center" wrapText="0"/>
    </xf>
    <xf borderId="23" fillId="0" fontId="16" numFmtId="165" xfId="0" applyAlignment="1" applyBorder="1" applyFont="1" applyNumberFormat="1">
      <alignment horizontal="left" shrinkToFit="0" vertical="center" wrapText="0"/>
    </xf>
    <xf borderId="24" fillId="0" fontId="7" numFmtId="0" xfId="0" applyBorder="1" applyFont="1"/>
    <xf borderId="25" fillId="0" fontId="16" numFmtId="164" xfId="0" applyAlignment="1" applyBorder="1" applyFont="1" applyNumberFormat="1">
      <alignment horizontal="center" shrinkToFit="0" vertical="center" wrapText="0"/>
    </xf>
    <xf borderId="17" fillId="0" fontId="16" numFmtId="164" xfId="0" applyAlignment="1" applyBorder="1" applyFont="1" applyNumberFormat="1">
      <alignment horizontal="center" shrinkToFit="0" vertical="center" wrapText="0"/>
    </xf>
    <xf borderId="0" fillId="0" fontId="16" numFmtId="165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externalLink" Target="externalLinks/externalLink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7a4df0461b5a68ca/02_MTMC/03_Ph&#226;n t&#237;ch t&#224;i ch&#237;nh nh&#243;m MLW/T4.2026/FIle &#273;&#227; n&#7897;p/260423_Minh Long valua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Giả định"/>
      <sheetName val="Dự án"/>
      <sheetName val="Nhập liệu"/>
      <sheetName val="Doanh thu-Giá vốn"/>
      <sheetName val="Copy"/>
      <sheetName val="TSCĐ"/>
      <sheetName val="VCSH"/>
      <sheetName val="FI&amp;FE"/>
      <sheetName val="KQKD"/>
      <sheetName val="CĐKT"/>
      <sheetName val="LCTT"/>
      <sheetName val="Ratios"/>
      <sheetName val="Sheet1"/>
      <sheetName val="Chỉ số NH"/>
      <sheetName val="Chỉ số NH (2)"/>
      <sheetName val="Nhu cầu VLĐ"/>
      <sheetName val="Chart"/>
    </sheetNames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36.71"/>
    <col customWidth="1" min="3" max="3" width="10.71"/>
    <col customWidth="1" min="4" max="4" width="17.29"/>
    <col customWidth="1" min="5" max="6" width="14.71"/>
    <col customWidth="1" min="7" max="7" width="12.86"/>
    <col customWidth="1" min="8" max="13" width="12.71"/>
    <col customWidth="1" min="14" max="15" width="13.86"/>
    <col customWidth="1" min="16" max="16" width="12.86"/>
    <col customWidth="1" hidden="1" min="17" max="17" width="10.0"/>
    <col customWidth="1" min="18" max="26" width="8.0"/>
  </cols>
  <sheetData>
    <row r="1" ht="21.0" customHeight="1">
      <c r="A1" s="2" t="s">
        <v>1</v>
      </c>
    </row>
    <row r="2" ht="21.0" customHeight="1">
      <c r="A2" s="2" t="s">
        <v>4</v>
      </c>
    </row>
    <row r="3" ht="15.0" customHeight="1">
      <c r="D3" s="6">
        <f>SUM(E3:P3)</f>
        <v>1</v>
      </c>
      <c r="E3" s="6">
        <v>0.05</v>
      </c>
      <c r="F3" s="6">
        <v>0.08</v>
      </c>
      <c r="G3" s="6">
        <v>0.07</v>
      </c>
      <c r="H3" s="6">
        <v>0.05</v>
      </c>
      <c r="I3" s="6">
        <v>0.02</v>
      </c>
      <c r="J3" s="6">
        <v>0.04</v>
      </c>
      <c r="K3" s="6">
        <v>0.06</v>
      </c>
      <c r="L3" s="6">
        <v>0.08</v>
      </c>
      <c r="M3" s="6">
        <v>0.1</v>
      </c>
      <c r="N3" s="6">
        <v>0.15</v>
      </c>
      <c r="O3" s="6">
        <v>0.15</v>
      </c>
      <c r="P3" s="6">
        <v>0.15</v>
      </c>
      <c r="Q3" s="13" t="s">
        <v>18</v>
      </c>
    </row>
    <row r="4" ht="18.0" customHeight="1">
      <c r="A4" s="14" t="s">
        <v>19</v>
      </c>
      <c r="B4" s="14" t="s">
        <v>20</v>
      </c>
      <c r="C4" s="16" t="s">
        <v>21</v>
      </c>
      <c r="D4" s="19" t="s">
        <v>23</v>
      </c>
      <c r="E4" s="19" t="s">
        <v>5</v>
      </c>
      <c r="F4" s="19" t="s">
        <v>6</v>
      </c>
      <c r="G4" s="19" t="s">
        <v>7</v>
      </c>
      <c r="H4" s="19" t="s">
        <v>8</v>
      </c>
      <c r="I4" s="19" t="s">
        <v>9</v>
      </c>
      <c r="J4" s="19" t="s">
        <v>10</v>
      </c>
      <c r="K4" s="19" t="s">
        <v>11</v>
      </c>
      <c r="L4" s="19" t="s">
        <v>12</v>
      </c>
      <c r="M4" s="19" t="s">
        <v>13</v>
      </c>
      <c r="N4" s="19" t="s">
        <v>14</v>
      </c>
      <c r="O4" s="19" t="s">
        <v>15</v>
      </c>
      <c r="P4" s="19" t="s">
        <v>16</v>
      </c>
      <c r="Q4" s="15"/>
    </row>
    <row r="5" ht="15.75" customHeight="1">
      <c r="A5" s="21" t="s">
        <v>25</v>
      </c>
      <c r="B5" s="22" t="s">
        <v>26</v>
      </c>
      <c r="C5" s="23" t="s">
        <v>27</v>
      </c>
      <c r="D5" s="27">
        <f t="shared" ref="D5:P5" si="1">SUBTOTAL(9,D6:D7)</f>
        <v>7608600</v>
      </c>
      <c r="E5" s="27">
        <f t="shared" si="1"/>
        <v>380430</v>
      </c>
      <c r="F5" s="27">
        <f t="shared" si="1"/>
        <v>608688</v>
      </c>
      <c r="G5" s="27">
        <f t="shared" si="1"/>
        <v>532602</v>
      </c>
      <c r="H5" s="27">
        <f t="shared" si="1"/>
        <v>380430</v>
      </c>
      <c r="I5" s="27">
        <f t="shared" si="1"/>
        <v>152172</v>
      </c>
      <c r="J5" s="27">
        <f t="shared" si="1"/>
        <v>304344</v>
      </c>
      <c r="K5" s="27">
        <f t="shared" si="1"/>
        <v>456516</v>
      </c>
      <c r="L5" s="27">
        <f t="shared" si="1"/>
        <v>608688</v>
      </c>
      <c r="M5" s="27">
        <f t="shared" si="1"/>
        <v>760860</v>
      </c>
      <c r="N5" s="27">
        <f t="shared" si="1"/>
        <v>1141290</v>
      </c>
      <c r="O5" s="27">
        <f t="shared" si="1"/>
        <v>1141290</v>
      </c>
      <c r="P5" s="27">
        <f t="shared" si="1"/>
        <v>1141290</v>
      </c>
      <c r="Q5" s="28">
        <v>0.05</v>
      </c>
    </row>
    <row r="6" ht="15.75" customHeight="1">
      <c r="A6" s="29">
        <v>1.0</v>
      </c>
      <c r="B6" s="30" t="s">
        <v>31</v>
      </c>
      <c r="C6" s="29" t="s">
        <v>32</v>
      </c>
      <c r="D6" s="12">
        <v>1158600.0</v>
      </c>
      <c r="E6" s="12">
        <v>57930.0</v>
      </c>
      <c r="F6" s="12">
        <v>92688.0</v>
      </c>
      <c r="G6" s="12">
        <v>81102.00000000001</v>
      </c>
      <c r="H6" s="12">
        <v>57930.0</v>
      </c>
      <c r="I6" s="12">
        <v>23172.0</v>
      </c>
      <c r="J6" s="12">
        <v>46344.0</v>
      </c>
      <c r="K6" s="12">
        <v>69516.0</v>
      </c>
      <c r="L6" s="12">
        <v>92688.0</v>
      </c>
      <c r="M6" s="12">
        <v>115860.0</v>
      </c>
      <c r="N6" s="12">
        <v>173790.0</v>
      </c>
      <c r="O6" s="12">
        <v>173790.0</v>
      </c>
      <c r="P6" s="12">
        <v>173790.0</v>
      </c>
      <c r="Q6" s="36">
        <v>120.0</v>
      </c>
    </row>
    <row r="7" ht="15.75" customHeight="1">
      <c r="A7" s="29">
        <v>2.0</v>
      </c>
      <c r="B7" s="30" t="s">
        <v>37</v>
      </c>
      <c r="C7" s="29" t="s">
        <v>32</v>
      </c>
      <c r="D7" s="12">
        <v>6450000.0</v>
      </c>
      <c r="E7" s="12">
        <v>322500.0</v>
      </c>
      <c r="F7" s="12">
        <v>516000.0</v>
      </c>
      <c r="G7" s="12">
        <v>451500.00000000006</v>
      </c>
      <c r="H7" s="12">
        <v>322500.0</v>
      </c>
      <c r="I7" s="12">
        <v>129000.0</v>
      </c>
      <c r="J7" s="12">
        <v>258000.0</v>
      </c>
      <c r="K7" s="12">
        <v>387000.0</v>
      </c>
      <c r="L7" s="12">
        <v>516000.0</v>
      </c>
      <c r="M7" s="12">
        <v>645000.0</v>
      </c>
      <c r="N7" s="12">
        <v>967500.0</v>
      </c>
      <c r="O7" s="12">
        <v>967500.0</v>
      </c>
      <c r="P7" s="12">
        <v>967500.0</v>
      </c>
      <c r="Q7" s="12" t="str">
        <f>$D$7*Q3</f>
        <v>#VALUE!</v>
      </c>
    </row>
    <row r="8" ht="15.75" customHeight="1">
      <c r="A8" s="21" t="s">
        <v>39</v>
      </c>
      <c r="B8" s="22" t="s">
        <v>40</v>
      </c>
      <c r="C8" s="23" t="s">
        <v>27</v>
      </c>
      <c r="D8" s="27">
        <f t="shared" ref="D8:P8" si="2">SUBTOTAL(9,D9:D10)</f>
        <v>3598600</v>
      </c>
      <c r="E8" s="27">
        <f t="shared" si="2"/>
        <v>179930</v>
      </c>
      <c r="F8" s="27">
        <f t="shared" si="2"/>
        <v>287888</v>
      </c>
      <c r="G8" s="27">
        <f t="shared" si="2"/>
        <v>251902</v>
      </c>
      <c r="H8" s="27">
        <f t="shared" si="2"/>
        <v>179930</v>
      </c>
      <c r="I8" s="27">
        <f t="shared" si="2"/>
        <v>71972</v>
      </c>
      <c r="J8" s="27">
        <f t="shared" si="2"/>
        <v>143944</v>
      </c>
      <c r="K8" s="27">
        <f t="shared" si="2"/>
        <v>215916</v>
      </c>
      <c r="L8" s="27">
        <f t="shared" si="2"/>
        <v>287888</v>
      </c>
      <c r="M8" s="27">
        <f t="shared" si="2"/>
        <v>359860</v>
      </c>
      <c r="N8" s="27">
        <f t="shared" si="2"/>
        <v>539790</v>
      </c>
      <c r="O8" s="27">
        <f t="shared" si="2"/>
        <v>539790</v>
      </c>
      <c r="P8" s="27">
        <f t="shared" si="2"/>
        <v>539790</v>
      </c>
      <c r="R8" s="36"/>
    </row>
    <row r="9" ht="15.75" customHeight="1">
      <c r="A9" s="42">
        <v>1.0</v>
      </c>
      <c r="B9" s="30" t="s">
        <v>31</v>
      </c>
      <c r="C9" s="42" t="s">
        <v>32</v>
      </c>
      <c r="D9" s="12">
        <v>1158600.0</v>
      </c>
      <c r="E9" s="12">
        <v>57930.0</v>
      </c>
      <c r="F9" s="12">
        <v>92688.0</v>
      </c>
      <c r="G9" s="12">
        <v>81102.00000000001</v>
      </c>
      <c r="H9" s="12">
        <v>57930.0</v>
      </c>
      <c r="I9" s="12">
        <v>23172.0</v>
      </c>
      <c r="J9" s="12">
        <v>46344.0</v>
      </c>
      <c r="K9" s="12">
        <v>69516.0</v>
      </c>
      <c r="L9" s="12">
        <v>92688.0</v>
      </c>
      <c r="M9" s="12">
        <v>115860.0</v>
      </c>
      <c r="N9" s="12">
        <v>173790.0</v>
      </c>
      <c r="O9" s="12">
        <v>173790.0</v>
      </c>
      <c r="P9" s="12">
        <v>173790.0</v>
      </c>
    </row>
    <row r="10" ht="15.75" customHeight="1">
      <c r="A10" s="42">
        <v>2.0</v>
      </c>
      <c r="B10" s="30" t="s">
        <v>37</v>
      </c>
      <c r="C10" s="42" t="s">
        <v>32</v>
      </c>
      <c r="D10" s="12">
        <v>2440000.0</v>
      </c>
      <c r="E10" s="12">
        <v>122000.0</v>
      </c>
      <c r="F10" s="12">
        <v>195200.0</v>
      </c>
      <c r="G10" s="12">
        <v>170800.00000000003</v>
      </c>
      <c r="H10" s="12">
        <v>122000.0</v>
      </c>
      <c r="I10" s="12">
        <v>48800.0</v>
      </c>
      <c r="J10" s="12">
        <v>97600.0</v>
      </c>
      <c r="K10" s="12">
        <v>146400.0</v>
      </c>
      <c r="L10" s="12">
        <v>195200.0</v>
      </c>
      <c r="M10" s="12">
        <v>244000.0</v>
      </c>
      <c r="N10" s="12">
        <v>366000.0</v>
      </c>
      <c r="O10" s="12">
        <v>366000.0</v>
      </c>
      <c r="P10" s="12">
        <v>366000.0</v>
      </c>
    </row>
    <row r="11" ht="15.75" customHeight="1">
      <c r="A11" s="21" t="s">
        <v>46</v>
      </c>
      <c r="B11" s="22" t="s">
        <v>29</v>
      </c>
      <c r="C11" s="23"/>
      <c r="D11" s="27">
        <f t="shared" ref="D11:P11" si="3">+D12+D18</f>
        <v>951312</v>
      </c>
      <c r="E11" s="27">
        <f t="shared" si="3"/>
        <v>47565.6</v>
      </c>
      <c r="F11" s="27">
        <f t="shared" si="3"/>
        <v>76104.96</v>
      </c>
      <c r="G11" s="27">
        <f t="shared" si="3"/>
        <v>66591.84</v>
      </c>
      <c r="H11" s="27">
        <f t="shared" si="3"/>
        <v>47565.6</v>
      </c>
      <c r="I11" s="27">
        <f t="shared" si="3"/>
        <v>19026.24</v>
      </c>
      <c r="J11" s="27">
        <f t="shared" si="3"/>
        <v>38052.48</v>
      </c>
      <c r="K11" s="27">
        <f t="shared" si="3"/>
        <v>57078.72</v>
      </c>
      <c r="L11" s="27">
        <f t="shared" si="3"/>
        <v>76104.96</v>
      </c>
      <c r="M11" s="27">
        <f t="shared" si="3"/>
        <v>95131.2</v>
      </c>
      <c r="N11" s="27">
        <f t="shared" si="3"/>
        <v>142696.8</v>
      </c>
      <c r="O11" s="27">
        <f t="shared" si="3"/>
        <v>142696.8</v>
      </c>
      <c r="P11" s="27">
        <f t="shared" si="3"/>
        <v>142696.8</v>
      </c>
    </row>
    <row r="12" ht="15.75" customHeight="1">
      <c r="A12" s="43" t="s">
        <v>34</v>
      </c>
      <c r="B12" s="44" t="s">
        <v>36</v>
      </c>
      <c r="C12" s="29" t="s">
        <v>49</v>
      </c>
      <c r="D12" s="18">
        <f t="shared" ref="D12:P12" si="4">SUBTOTAL(9,D13:D14)</f>
        <v>792760</v>
      </c>
      <c r="E12" s="18">
        <f t="shared" si="4"/>
        <v>39638</v>
      </c>
      <c r="F12" s="18">
        <f t="shared" si="4"/>
        <v>63420.8</v>
      </c>
      <c r="G12" s="18">
        <f t="shared" si="4"/>
        <v>55493.2</v>
      </c>
      <c r="H12" s="18">
        <f t="shared" si="4"/>
        <v>39638</v>
      </c>
      <c r="I12" s="18">
        <f t="shared" si="4"/>
        <v>15855.2</v>
      </c>
      <c r="J12" s="18">
        <f t="shared" si="4"/>
        <v>31710.4</v>
      </c>
      <c r="K12" s="18">
        <f t="shared" si="4"/>
        <v>47565.6</v>
      </c>
      <c r="L12" s="18">
        <f t="shared" si="4"/>
        <v>63420.8</v>
      </c>
      <c r="M12" s="18">
        <f t="shared" si="4"/>
        <v>79276</v>
      </c>
      <c r="N12" s="18">
        <f t="shared" si="4"/>
        <v>118914</v>
      </c>
      <c r="O12" s="18">
        <f t="shared" si="4"/>
        <v>118914</v>
      </c>
      <c r="P12" s="18">
        <f t="shared" si="4"/>
        <v>118914</v>
      </c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29">
        <v>1.0</v>
      </c>
      <c r="B13" s="30" t="s">
        <v>31</v>
      </c>
      <c r="C13" s="29" t="s">
        <v>49</v>
      </c>
      <c r="D13" s="12">
        <f t="shared" ref="D13:D14" si="6">SUM(E13:P13)</f>
        <v>695160</v>
      </c>
      <c r="E13" s="12">
        <f t="shared" ref="E13:P13" si="5">+E16*E9</f>
        <v>34758</v>
      </c>
      <c r="F13" s="12">
        <f t="shared" si="5"/>
        <v>55612.8</v>
      </c>
      <c r="G13" s="12">
        <f t="shared" si="5"/>
        <v>48661.2</v>
      </c>
      <c r="H13" s="12">
        <f t="shared" si="5"/>
        <v>34758</v>
      </c>
      <c r="I13" s="12">
        <f t="shared" si="5"/>
        <v>13903.2</v>
      </c>
      <c r="J13" s="12">
        <f t="shared" si="5"/>
        <v>27806.4</v>
      </c>
      <c r="K13" s="12">
        <f t="shared" si="5"/>
        <v>41709.6</v>
      </c>
      <c r="L13" s="12">
        <f t="shared" si="5"/>
        <v>55612.8</v>
      </c>
      <c r="M13" s="12">
        <f t="shared" si="5"/>
        <v>69516</v>
      </c>
      <c r="N13" s="12">
        <f t="shared" si="5"/>
        <v>104274</v>
      </c>
      <c r="O13" s="12">
        <f t="shared" si="5"/>
        <v>104274</v>
      </c>
      <c r="P13" s="12">
        <f t="shared" si="5"/>
        <v>104274</v>
      </c>
    </row>
    <row r="14" ht="15.75" customHeight="1">
      <c r="A14" s="29">
        <v>2.0</v>
      </c>
      <c r="B14" s="30" t="s">
        <v>37</v>
      </c>
      <c r="C14" s="29" t="s">
        <v>49</v>
      </c>
      <c r="D14" s="12">
        <f t="shared" si="6"/>
        <v>97600</v>
      </c>
      <c r="E14" s="12">
        <f t="shared" ref="E14:P14" si="7">+E17*E10</f>
        <v>4880</v>
      </c>
      <c r="F14" s="12">
        <f t="shared" si="7"/>
        <v>7808</v>
      </c>
      <c r="G14" s="12">
        <f t="shared" si="7"/>
        <v>6832</v>
      </c>
      <c r="H14" s="12">
        <f t="shared" si="7"/>
        <v>4880</v>
      </c>
      <c r="I14" s="12">
        <f t="shared" si="7"/>
        <v>1952</v>
      </c>
      <c r="J14" s="12">
        <f t="shared" si="7"/>
        <v>3904</v>
      </c>
      <c r="K14" s="12">
        <f t="shared" si="7"/>
        <v>5856</v>
      </c>
      <c r="L14" s="12">
        <f t="shared" si="7"/>
        <v>7808</v>
      </c>
      <c r="M14" s="12">
        <f t="shared" si="7"/>
        <v>9760</v>
      </c>
      <c r="N14" s="12">
        <f t="shared" si="7"/>
        <v>14640</v>
      </c>
      <c r="O14" s="12">
        <f t="shared" si="7"/>
        <v>14640</v>
      </c>
      <c r="P14" s="12">
        <f t="shared" si="7"/>
        <v>14640</v>
      </c>
    </row>
    <row r="15" ht="15.75" customHeight="1">
      <c r="A15" s="47"/>
      <c r="B15" s="48" t="s">
        <v>60</v>
      </c>
      <c r="C15" s="47" t="s">
        <v>49</v>
      </c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50">
        <v>1.0</v>
      </c>
      <c r="B16" s="30" t="s">
        <v>31</v>
      </c>
      <c r="C16" s="50" t="s">
        <v>49</v>
      </c>
      <c r="D16" s="39">
        <f t="shared" ref="D16:D17" si="8">+D13/D9</f>
        <v>0.6</v>
      </c>
      <c r="E16" s="39">
        <v>0.6</v>
      </c>
      <c r="F16" s="39">
        <v>0.6</v>
      </c>
      <c r="G16" s="39">
        <v>0.6</v>
      </c>
      <c r="H16" s="39">
        <v>0.6</v>
      </c>
      <c r="I16" s="39">
        <v>0.6</v>
      </c>
      <c r="J16" s="39">
        <v>0.6</v>
      </c>
      <c r="K16" s="39">
        <v>0.6</v>
      </c>
      <c r="L16" s="39">
        <v>0.6</v>
      </c>
      <c r="M16" s="39">
        <v>0.6</v>
      </c>
      <c r="N16" s="39">
        <v>0.6</v>
      </c>
      <c r="O16" s="39">
        <v>0.6</v>
      </c>
      <c r="P16" s="39">
        <v>0.6</v>
      </c>
      <c r="Q16" s="51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50">
        <v>2.0</v>
      </c>
      <c r="B17" s="30" t="s">
        <v>37</v>
      </c>
      <c r="C17" s="50" t="s">
        <v>49</v>
      </c>
      <c r="D17" s="39">
        <f t="shared" si="8"/>
        <v>0.04</v>
      </c>
      <c r="E17" s="39">
        <v>0.04</v>
      </c>
      <c r="F17" s="39">
        <v>0.04</v>
      </c>
      <c r="G17" s="39">
        <v>0.04</v>
      </c>
      <c r="H17" s="39">
        <v>0.04</v>
      </c>
      <c r="I17" s="39">
        <v>0.04</v>
      </c>
      <c r="J17" s="39">
        <v>0.04</v>
      </c>
      <c r="K17" s="39">
        <v>0.04</v>
      </c>
      <c r="L17" s="39">
        <v>0.04</v>
      </c>
      <c r="M17" s="39">
        <v>0.04</v>
      </c>
      <c r="N17" s="39">
        <v>0.04</v>
      </c>
      <c r="O17" s="39">
        <v>0.04</v>
      </c>
      <c r="P17" s="39">
        <v>0.04</v>
      </c>
      <c r="Q17" s="51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43" t="s">
        <v>65</v>
      </c>
      <c r="B18" s="44" t="s">
        <v>66</v>
      </c>
      <c r="C18" s="29" t="s">
        <v>49</v>
      </c>
      <c r="D18" s="18">
        <v>158552.0</v>
      </c>
      <c r="E18" s="18">
        <v>7927.6</v>
      </c>
      <c r="F18" s="18">
        <v>12684.16</v>
      </c>
      <c r="G18" s="18">
        <v>11098.640000000001</v>
      </c>
      <c r="H18" s="18">
        <v>7927.6</v>
      </c>
      <c r="I18" s="18">
        <v>3171.04</v>
      </c>
      <c r="J18" s="18">
        <v>6342.08</v>
      </c>
      <c r="K18" s="18">
        <v>9513.119999999999</v>
      </c>
      <c r="L18" s="18">
        <v>12684.16</v>
      </c>
      <c r="M18" s="18">
        <v>15855.2</v>
      </c>
      <c r="N18" s="18">
        <v>23782.8</v>
      </c>
      <c r="O18" s="18">
        <v>23782.8</v>
      </c>
      <c r="P18" s="18">
        <v>23782.8</v>
      </c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15.75" customHeight="1">
      <c r="A19" s="21" t="s">
        <v>68</v>
      </c>
      <c r="B19" s="22" t="s">
        <v>70</v>
      </c>
      <c r="C19" s="23"/>
      <c r="D19" s="27">
        <f t="shared" ref="D19:P19" si="9">+D20+D26</f>
        <v>785681.12</v>
      </c>
      <c r="E19" s="27">
        <f t="shared" si="9"/>
        <v>39284.056</v>
      </c>
      <c r="F19" s="27">
        <f t="shared" si="9"/>
        <v>62854.4896</v>
      </c>
      <c r="G19" s="27">
        <f t="shared" si="9"/>
        <v>54997.6784</v>
      </c>
      <c r="H19" s="27">
        <f t="shared" si="9"/>
        <v>39284.056</v>
      </c>
      <c r="I19" s="27">
        <f t="shared" si="9"/>
        <v>15713.6224</v>
      </c>
      <c r="J19" s="27">
        <f t="shared" si="9"/>
        <v>31427.2448</v>
      </c>
      <c r="K19" s="27">
        <f t="shared" si="9"/>
        <v>47140.8672</v>
      </c>
      <c r="L19" s="27">
        <f t="shared" si="9"/>
        <v>62854.4896</v>
      </c>
      <c r="M19" s="27">
        <f t="shared" si="9"/>
        <v>78568.112</v>
      </c>
      <c r="N19" s="27">
        <f t="shared" si="9"/>
        <v>117852.168</v>
      </c>
      <c r="O19" s="27">
        <f t="shared" si="9"/>
        <v>117852.168</v>
      </c>
      <c r="P19" s="27">
        <f t="shared" si="9"/>
        <v>117852.168</v>
      </c>
    </row>
    <row r="20" ht="15.75" customHeight="1">
      <c r="A20" s="43" t="s">
        <v>34</v>
      </c>
      <c r="B20" s="44" t="s">
        <v>73</v>
      </c>
      <c r="C20" s="29" t="s">
        <v>49</v>
      </c>
      <c r="D20" s="18">
        <f t="shared" ref="D20:P20" si="10">SUBTOTAL(9,D21:D22)</f>
        <v>633471.2</v>
      </c>
      <c r="E20" s="18">
        <f t="shared" si="10"/>
        <v>31673.56</v>
      </c>
      <c r="F20" s="18">
        <f t="shared" si="10"/>
        <v>50677.696</v>
      </c>
      <c r="G20" s="18">
        <f t="shared" si="10"/>
        <v>44342.984</v>
      </c>
      <c r="H20" s="18">
        <f t="shared" si="10"/>
        <v>31673.56</v>
      </c>
      <c r="I20" s="18">
        <f t="shared" si="10"/>
        <v>12669.424</v>
      </c>
      <c r="J20" s="18">
        <f t="shared" si="10"/>
        <v>25338.848</v>
      </c>
      <c r="K20" s="18">
        <f t="shared" si="10"/>
        <v>38008.272</v>
      </c>
      <c r="L20" s="18">
        <f t="shared" si="10"/>
        <v>50677.696</v>
      </c>
      <c r="M20" s="18">
        <f t="shared" si="10"/>
        <v>63347.12</v>
      </c>
      <c r="N20" s="18">
        <f t="shared" si="10"/>
        <v>95020.68</v>
      </c>
      <c r="O20" s="18">
        <f t="shared" si="10"/>
        <v>95020.68</v>
      </c>
      <c r="P20" s="18">
        <f t="shared" si="10"/>
        <v>95020.68</v>
      </c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15.75" customHeight="1">
      <c r="A21" s="29">
        <v>1.0</v>
      </c>
      <c r="B21" s="30" t="s">
        <v>31</v>
      </c>
      <c r="C21" s="29" t="s">
        <v>49</v>
      </c>
      <c r="D21" s="12">
        <f t="shared" ref="D21:D22" si="12">SUM(E21:P21)</f>
        <v>570031.2</v>
      </c>
      <c r="E21" s="12">
        <f t="shared" ref="E21:P21" si="11">E9*E24</f>
        <v>28501.56</v>
      </c>
      <c r="F21" s="12">
        <f t="shared" si="11"/>
        <v>45602.496</v>
      </c>
      <c r="G21" s="12">
        <f t="shared" si="11"/>
        <v>39902.184</v>
      </c>
      <c r="H21" s="12">
        <f t="shared" si="11"/>
        <v>28501.56</v>
      </c>
      <c r="I21" s="12">
        <f t="shared" si="11"/>
        <v>11400.624</v>
      </c>
      <c r="J21" s="12">
        <f t="shared" si="11"/>
        <v>22801.248</v>
      </c>
      <c r="K21" s="12">
        <f t="shared" si="11"/>
        <v>34201.872</v>
      </c>
      <c r="L21" s="12">
        <f t="shared" si="11"/>
        <v>45602.496</v>
      </c>
      <c r="M21" s="12">
        <f t="shared" si="11"/>
        <v>57003.12</v>
      </c>
      <c r="N21" s="12">
        <f t="shared" si="11"/>
        <v>85504.68</v>
      </c>
      <c r="O21" s="12">
        <f t="shared" si="11"/>
        <v>85504.68</v>
      </c>
      <c r="P21" s="12">
        <f t="shared" si="11"/>
        <v>85504.68</v>
      </c>
    </row>
    <row r="22" ht="15.75" customHeight="1">
      <c r="A22" s="29">
        <v>2.0</v>
      </c>
      <c r="B22" s="30" t="s">
        <v>37</v>
      </c>
      <c r="C22" s="29" t="s">
        <v>49</v>
      </c>
      <c r="D22" s="12">
        <f t="shared" si="12"/>
        <v>63440</v>
      </c>
      <c r="E22" s="12">
        <f t="shared" ref="E22:P22" si="13">E10*E25</f>
        <v>3172</v>
      </c>
      <c r="F22" s="12">
        <f t="shared" si="13"/>
        <v>5075.2</v>
      </c>
      <c r="G22" s="12">
        <f t="shared" si="13"/>
        <v>4440.8</v>
      </c>
      <c r="H22" s="12">
        <f t="shared" si="13"/>
        <v>3172</v>
      </c>
      <c r="I22" s="12">
        <f t="shared" si="13"/>
        <v>1268.8</v>
      </c>
      <c r="J22" s="12">
        <f t="shared" si="13"/>
        <v>2537.6</v>
      </c>
      <c r="K22" s="12">
        <f t="shared" si="13"/>
        <v>3806.4</v>
      </c>
      <c r="L22" s="12">
        <f t="shared" si="13"/>
        <v>5075.2</v>
      </c>
      <c r="M22" s="12">
        <f t="shared" si="13"/>
        <v>6344</v>
      </c>
      <c r="N22" s="12">
        <f t="shared" si="13"/>
        <v>9516</v>
      </c>
      <c r="O22" s="12">
        <f t="shared" si="13"/>
        <v>9516</v>
      </c>
      <c r="P22" s="12">
        <f t="shared" si="13"/>
        <v>9516</v>
      </c>
    </row>
    <row r="23" ht="15.75" customHeight="1">
      <c r="A23" s="47"/>
      <c r="B23" s="48" t="s">
        <v>85</v>
      </c>
      <c r="C23" s="47" t="s">
        <v>49</v>
      </c>
      <c r="D23" s="35"/>
      <c r="E23" s="39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50">
        <v>1.0</v>
      </c>
      <c r="B24" s="30" t="s">
        <v>31</v>
      </c>
      <c r="C24" s="50" t="s">
        <v>49</v>
      </c>
      <c r="D24" s="39">
        <f t="shared" ref="D24:D25" si="14">D21/D9</f>
        <v>0.492</v>
      </c>
      <c r="E24" s="39">
        <v>0.49199999999999994</v>
      </c>
      <c r="F24" s="39">
        <v>0.49199999999999994</v>
      </c>
      <c r="G24" s="39">
        <v>0.49199999999999994</v>
      </c>
      <c r="H24" s="39">
        <v>0.49199999999999994</v>
      </c>
      <c r="I24" s="39">
        <v>0.49199999999999994</v>
      </c>
      <c r="J24" s="39">
        <v>0.49199999999999994</v>
      </c>
      <c r="K24" s="39">
        <v>0.49199999999999994</v>
      </c>
      <c r="L24" s="39">
        <v>0.49199999999999994</v>
      </c>
      <c r="M24" s="39">
        <v>0.49199999999999994</v>
      </c>
      <c r="N24" s="39">
        <v>0.49199999999999994</v>
      </c>
      <c r="O24" s="39">
        <v>0.49199999999999994</v>
      </c>
      <c r="P24" s="39">
        <v>0.49199999999999994</v>
      </c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50">
        <v>2.0</v>
      </c>
      <c r="B25" s="30" t="s">
        <v>37</v>
      </c>
      <c r="C25" s="50" t="s">
        <v>49</v>
      </c>
      <c r="D25" s="39">
        <f t="shared" si="14"/>
        <v>0.026</v>
      </c>
      <c r="E25" s="39">
        <v>0.026000000000000002</v>
      </c>
      <c r="F25" s="39">
        <v>0.026000000000000002</v>
      </c>
      <c r="G25" s="39">
        <v>0.026000000000000002</v>
      </c>
      <c r="H25" s="39">
        <v>0.026000000000000002</v>
      </c>
      <c r="I25" s="39">
        <v>0.026000000000000002</v>
      </c>
      <c r="J25" s="39">
        <v>0.026000000000000002</v>
      </c>
      <c r="K25" s="39">
        <v>0.026000000000000002</v>
      </c>
      <c r="L25" s="39">
        <v>0.026000000000000002</v>
      </c>
      <c r="M25" s="39">
        <v>0.026000000000000002</v>
      </c>
      <c r="N25" s="39">
        <v>0.026000000000000002</v>
      </c>
      <c r="O25" s="39">
        <v>0.026000000000000002</v>
      </c>
      <c r="P25" s="39">
        <v>0.026000000000000002</v>
      </c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3" t="s">
        <v>65</v>
      </c>
      <c r="B26" s="44" t="s">
        <v>91</v>
      </c>
      <c r="C26" s="29" t="s">
        <v>49</v>
      </c>
      <c r="D26" s="18">
        <f t="shared" ref="D26:D27" si="15">SUM(E26:P26)</f>
        <v>152209.92</v>
      </c>
      <c r="E26" s="18">
        <v>7610.496</v>
      </c>
      <c r="F26" s="18">
        <v>12176.793599999999</v>
      </c>
      <c r="G26" s="18">
        <v>10654.6944</v>
      </c>
      <c r="H26" s="18">
        <v>7610.496</v>
      </c>
      <c r="I26" s="18">
        <v>3044.1983999999998</v>
      </c>
      <c r="J26" s="18">
        <v>6088.3967999999995</v>
      </c>
      <c r="K26" s="18">
        <v>9132.595199999998</v>
      </c>
      <c r="L26" s="18">
        <v>12176.793599999999</v>
      </c>
      <c r="M26" s="18">
        <v>15220.992</v>
      </c>
      <c r="N26" s="18">
        <v>22831.487999999998</v>
      </c>
      <c r="O26" s="18">
        <v>22831.487999999998</v>
      </c>
      <c r="P26" s="18">
        <v>22831.487999999998</v>
      </c>
      <c r="Q26" s="36"/>
      <c r="R26" s="45"/>
      <c r="S26" s="45"/>
      <c r="T26" s="45"/>
      <c r="U26" s="45"/>
      <c r="V26" s="45"/>
      <c r="W26" s="45"/>
      <c r="X26" s="45"/>
      <c r="Y26" s="45"/>
      <c r="Z26" s="45"/>
    </row>
    <row r="27" ht="15.75" customHeight="1">
      <c r="A27" s="21" t="s">
        <v>94</v>
      </c>
      <c r="B27" s="22" t="s">
        <v>96</v>
      </c>
      <c r="C27" s="23" t="s">
        <v>49</v>
      </c>
      <c r="D27" s="27">
        <f t="shared" si="15"/>
        <v>165630.88</v>
      </c>
      <c r="E27" s="27">
        <f t="shared" ref="E27:P27" si="16">+E11-E19</f>
        <v>8281.544</v>
      </c>
      <c r="F27" s="27">
        <f t="shared" si="16"/>
        <v>13250.4704</v>
      </c>
      <c r="G27" s="27">
        <f t="shared" si="16"/>
        <v>11594.1616</v>
      </c>
      <c r="H27" s="27">
        <f t="shared" si="16"/>
        <v>8281.544</v>
      </c>
      <c r="I27" s="27">
        <f t="shared" si="16"/>
        <v>3312.6176</v>
      </c>
      <c r="J27" s="27">
        <f t="shared" si="16"/>
        <v>6625.2352</v>
      </c>
      <c r="K27" s="27">
        <f t="shared" si="16"/>
        <v>9937.8528</v>
      </c>
      <c r="L27" s="27">
        <f t="shared" si="16"/>
        <v>13250.4704</v>
      </c>
      <c r="M27" s="27">
        <f t="shared" si="16"/>
        <v>16563.088</v>
      </c>
      <c r="N27" s="27">
        <f t="shared" si="16"/>
        <v>24844.632</v>
      </c>
      <c r="O27" s="27">
        <f t="shared" si="16"/>
        <v>24844.632</v>
      </c>
      <c r="P27" s="27">
        <f t="shared" si="16"/>
        <v>24844.632</v>
      </c>
    </row>
    <row r="28" ht="15.75" customHeight="1">
      <c r="A28" s="29"/>
      <c r="B28" s="30" t="s">
        <v>101</v>
      </c>
      <c r="C28" s="29"/>
      <c r="D28" s="57">
        <f t="shared" ref="D28:P28" si="17">IFERROR(D27/D11,0)</f>
        <v>0.1741078426</v>
      </c>
      <c r="E28" s="57">
        <f t="shared" si="17"/>
        <v>0.1741078426</v>
      </c>
      <c r="F28" s="57">
        <f t="shared" si="17"/>
        <v>0.1741078426</v>
      </c>
      <c r="G28" s="57">
        <f t="shared" si="17"/>
        <v>0.1741078426</v>
      </c>
      <c r="H28" s="57">
        <f t="shared" si="17"/>
        <v>0.1741078426</v>
      </c>
      <c r="I28" s="57">
        <f t="shared" si="17"/>
        <v>0.1741078426</v>
      </c>
      <c r="J28" s="57">
        <f t="shared" si="17"/>
        <v>0.1741078426</v>
      </c>
      <c r="K28" s="57">
        <f t="shared" si="17"/>
        <v>0.1741078426</v>
      </c>
      <c r="L28" s="57">
        <f t="shared" si="17"/>
        <v>0.1741078426</v>
      </c>
      <c r="M28" s="57">
        <f t="shared" si="17"/>
        <v>0.1741078426</v>
      </c>
      <c r="N28" s="57">
        <f t="shared" si="17"/>
        <v>0.1741078426</v>
      </c>
      <c r="O28" s="57">
        <f t="shared" si="17"/>
        <v>0.1741078426</v>
      </c>
      <c r="P28" s="57">
        <f t="shared" si="17"/>
        <v>0.1741078426</v>
      </c>
    </row>
    <row r="29" ht="15.75" customHeight="1">
      <c r="A29" s="21" t="s">
        <v>105</v>
      </c>
      <c r="B29" s="22" t="s">
        <v>106</v>
      </c>
      <c r="C29" s="23"/>
      <c r="D29" s="27">
        <f t="shared" ref="D29:D32" si="18">SUM(E29:P29)</f>
        <v>0</v>
      </c>
      <c r="E29" s="27">
        <v>0.0</v>
      </c>
      <c r="F29" s="27">
        <v>0.0</v>
      </c>
      <c r="G29" s="27">
        <v>0.0</v>
      </c>
      <c r="H29" s="27">
        <v>0.0</v>
      </c>
      <c r="I29" s="27">
        <v>0.0</v>
      </c>
      <c r="J29" s="27">
        <v>0.0</v>
      </c>
      <c r="K29" s="27">
        <v>0.0</v>
      </c>
      <c r="L29" s="27">
        <v>0.0</v>
      </c>
      <c r="M29" s="27">
        <v>0.0</v>
      </c>
      <c r="N29" s="27">
        <v>0.0</v>
      </c>
      <c r="O29" s="27">
        <v>0.0</v>
      </c>
      <c r="P29" s="27">
        <v>0.0</v>
      </c>
    </row>
    <row r="30" ht="15.75" customHeight="1">
      <c r="A30" s="21" t="s">
        <v>109</v>
      </c>
      <c r="B30" s="22" t="s">
        <v>110</v>
      </c>
      <c r="C30" s="23" t="s">
        <v>49</v>
      </c>
      <c r="D30" s="27">
        <f t="shared" si="18"/>
        <v>37424.21918</v>
      </c>
      <c r="E30" s="27">
        <f t="shared" ref="E30:P30" si="19">510000*7.2%/365*31</f>
        <v>3118.684932</v>
      </c>
      <c r="F30" s="27">
        <f t="shared" si="19"/>
        <v>3118.684932</v>
      </c>
      <c r="G30" s="27">
        <f t="shared" si="19"/>
        <v>3118.684932</v>
      </c>
      <c r="H30" s="27">
        <f t="shared" si="19"/>
        <v>3118.684932</v>
      </c>
      <c r="I30" s="27">
        <f t="shared" si="19"/>
        <v>3118.684932</v>
      </c>
      <c r="J30" s="27">
        <f t="shared" si="19"/>
        <v>3118.684932</v>
      </c>
      <c r="K30" s="27">
        <f t="shared" si="19"/>
        <v>3118.684932</v>
      </c>
      <c r="L30" s="27">
        <f t="shared" si="19"/>
        <v>3118.684932</v>
      </c>
      <c r="M30" s="27">
        <f t="shared" si="19"/>
        <v>3118.684932</v>
      </c>
      <c r="N30" s="27">
        <f t="shared" si="19"/>
        <v>3118.684932</v>
      </c>
      <c r="O30" s="27">
        <f t="shared" si="19"/>
        <v>3118.684932</v>
      </c>
      <c r="P30" s="27">
        <f t="shared" si="19"/>
        <v>3118.684932</v>
      </c>
    </row>
    <row r="31" ht="15.75" customHeight="1">
      <c r="A31" s="21" t="s">
        <v>116</v>
      </c>
      <c r="B31" s="22" t="s">
        <v>117</v>
      </c>
      <c r="C31" s="23" t="s">
        <v>49</v>
      </c>
      <c r="D31" s="27">
        <f t="shared" si="18"/>
        <v>24780</v>
      </c>
      <c r="E31" s="27">
        <v>2023.0</v>
      </c>
      <c r="F31" s="27">
        <v>2050.0</v>
      </c>
      <c r="G31" s="27">
        <v>2021.0</v>
      </c>
      <c r="H31" s="27">
        <v>2023.0</v>
      </c>
      <c r="I31" s="27">
        <v>2030.0</v>
      </c>
      <c r="J31" s="27">
        <v>2001.0</v>
      </c>
      <c r="K31" s="27">
        <v>2123.0</v>
      </c>
      <c r="L31" s="27">
        <v>2113.0</v>
      </c>
      <c r="M31" s="27">
        <v>2050.0</v>
      </c>
      <c r="N31" s="27">
        <v>2032.0</v>
      </c>
      <c r="O31" s="27">
        <v>2113.0</v>
      </c>
      <c r="P31" s="27">
        <v>2201.0</v>
      </c>
    </row>
    <row r="32" ht="15.75" customHeight="1">
      <c r="A32" s="21" t="s">
        <v>34</v>
      </c>
      <c r="B32" s="22" t="s">
        <v>121</v>
      </c>
      <c r="C32" s="23" t="s">
        <v>49</v>
      </c>
      <c r="D32" s="27">
        <f t="shared" si="18"/>
        <v>20204.6</v>
      </c>
      <c r="E32" s="27">
        <v>1010.2300000000001</v>
      </c>
      <c r="F32" s="27">
        <v>1616.3680000000002</v>
      </c>
      <c r="G32" s="27">
        <v>1414.3220000000003</v>
      </c>
      <c r="H32" s="27">
        <v>1010.2300000000001</v>
      </c>
      <c r="I32" s="27">
        <v>404.09200000000004</v>
      </c>
      <c r="J32" s="27">
        <v>808.1840000000001</v>
      </c>
      <c r="K32" s="27">
        <v>1212.276</v>
      </c>
      <c r="L32" s="27">
        <v>1616.3680000000002</v>
      </c>
      <c r="M32" s="27">
        <v>2020.4600000000003</v>
      </c>
      <c r="N32" s="27">
        <v>3030.69</v>
      </c>
      <c r="O32" s="27">
        <v>3030.69</v>
      </c>
      <c r="P32" s="27">
        <v>3030.69</v>
      </c>
    </row>
    <row r="33" ht="15.75" customHeight="1">
      <c r="A33" s="61" t="s">
        <v>124</v>
      </c>
      <c r="B33" s="62" t="s">
        <v>125</v>
      </c>
      <c r="C33" s="63" t="s">
        <v>49</v>
      </c>
      <c r="D33" s="27">
        <f t="shared" ref="D33:P33" si="20">+D27+D29-D30-D31-D32</f>
        <v>83222.06082</v>
      </c>
      <c r="E33" s="27">
        <f t="shared" si="20"/>
        <v>2129.629068</v>
      </c>
      <c r="F33" s="27">
        <f t="shared" si="20"/>
        <v>6465.417468</v>
      </c>
      <c r="G33" s="27">
        <f t="shared" si="20"/>
        <v>5040.154668</v>
      </c>
      <c r="H33" s="27">
        <f t="shared" si="20"/>
        <v>2129.629068</v>
      </c>
      <c r="I33" s="27">
        <f t="shared" si="20"/>
        <v>-2240.159332</v>
      </c>
      <c r="J33" s="27">
        <f t="shared" si="20"/>
        <v>697.3662685</v>
      </c>
      <c r="K33" s="27">
        <f t="shared" si="20"/>
        <v>3483.891868</v>
      </c>
      <c r="L33" s="27">
        <f t="shared" si="20"/>
        <v>6402.417468</v>
      </c>
      <c r="M33" s="27">
        <f t="shared" si="20"/>
        <v>9373.943068</v>
      </c>
      <c r="N33" s="27">
        <f t="shared" si="20"/>
        <v>16663.25707</v>
      </c>
      <c r="O33" s="27">
        <f t="shared" si="20"/>
        <v>16582.25707</v>
      </c>
      <c r="P33" s="27">
        <f t="shared" si="20"/>
        <v>16494.25707</v>
      </c>
    </row>
    <row r="34" ht="15.75" hidden="1" customHeight="1">
      <c r="A34" s="29"/>
      <c r="B34" s="30" t="s">
        <v>131</v>
      </c>
      <c r="C34" s="29" t="s">
        <v>49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ht="15.75" hidden="1" customHeight="1">
      <c r="A35" s="29"/>
      <c r="B35" s="30" t="s">
        <v>134</v>
      </c>
      <c r="C35" s="29" t="s">
        <v>49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ht="15.75" customHeight="1">
      <c r="A36" s="61" t="s">
        <v>137</v>
      </c>
      <c r="B36" s="62" t="s">
        <v>138</v>
      </c>
      <c r="C36" s="63"/>
      <c r="D36" s="27">
        <f>+D34-D35</f>
        <v>0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</row>
    <row r="37" ht="15.75" customHeight="1">
      <c r="A37" s="67" t="s">
        <v>141</v>
      </c>
      <c r="B37" s="68" t="s">
        <v>143</v>
      </c>
      <c r="C37" s="69" t="s">
        <v>49</v>
      </c>
      <c r="D37" s="70">
        <f t="shared" ref="D37:P37" si="21">+D33+D36</f>
        <v>83222.06082</v>
      </c>
      <c r="E37" s="70">
        <f t="shared" si="21"/>
        <v>2129.629068</v>
      </c>
      <c r="F37" s="70">
        <f t="shared" si="21"/>
        <v>6465.417468</v>
      </c>
      <c r="G37" s="70">
        <f t="shared" si="21"/>
        <v>5040.154668</v>
      </c>
      <c r="H37" s="70">
        <f t="shared" si="21"/>
        <v>2129.629068</v>
      </c>
      <c r="I37" s="70">
        <f t="shared" si="21"/>
        <v>-2240.159332</v>
      </c>
      <c r="J37" s="70">
        <f t="shared" si="21"/>
        <v>697.3662685</v>
      </c>
      <c r="K37" s="70">
        <f t="shared" si="21"/>
        <v>3483.891868</v>
      </c>
      <c r="L37" s="70">
        <f t="shared" si="21"/>
        <v>6402.417468</v>
      </c>
      <c r="M37" s="70">
        <f t="shared" si="21"/>
        <v>9373.943068</v>
      </c>
      <c r="N37" s="70">
        <f t="shared" si="21"/>
        <v>16663.25707</v>
      </c>
      <c r="O37" s="70">
        <f t="shared" si="21"/>
        <v>16582.25707</v>
      </c>
      <c r="P37" s="70">
        <f t="shared" si="21"/>
        <v>16494.25707</v>
      </c>
    </row>
    <row r="38" ht="15.75" customHeight="1">
      <c r="A38" s="21"/>
      <c r="B38" s="22" t="s">
        <v>145</v>
      </c>
      <c r="C38" s="23"/>
      <c r="D38" s="27">
        <v>16780.0</v>
      </c>
      <c r="E38" s="27">
        <v>1398.3333333333333</v>
      </c>
      <c r="F38" s="27">
        <v>1398.3333333333333</v>
      </c>
      <c r="G38" s="27">
        <v>1398.3333333333333</v>
      </c>
      <c r="H38" s="27">
        <v>1398.3333333333333</v>
      </c>
      <c r="I38" s="27">
        <v>1398.3333333333333</v>
      </c>
      <c r="J38" s="27">
        <v>1398.3333333333333</v>
      </c>
      <c r="K38" s="27">
        <v>1398.3333333333333</v>
      </c>
      <c r="L38" s="27">
        <v>1398.3333333333333</v>
      </c>
      <c r="M38" s="27">
        <v>1398.3333333333333</v>
      </c>
      <c r="N38" s="27">
        <v>1398.3333333333333</v>
      </c>
      <c r="O38" s="27">
        <v>1398.3333333333333</v>
      </c>
      <c r="P38" s="27">
        <v>1398.3333333333333</v>
      </c>
    </row>
    <row r="39" ht="16.5" customHeight="1">
      <c r="A39" s="71"/>
      <c r="B39" s="72" t="s">
        <v>147</v>
      </c>
      <c r="C39" s="73"/>
      <c r="D39" s="74">
        <f t="shared" ref="D39:P39" si="22">D37+D38+D30</f>
        <v>137426.28</v>
      </c>
      <c r="E39" s="74">
        <f t="shared" si="22"/>
        <v>6646.647333</v>
      </c>
      <c r="F39" s="74">
        <f t="shared" si="22"/>
        <v>10982.43573</v>
      </c>
      <c r="G39" s="74">
        <f t="shared" si="22"/>
        <v>9557.172933</v>
      </c>
      <c r="H39" s="74">
        <f t="shared" si="22"/>
        <v>6646.647333</v>
      </c>
      <c r="I39" s="74">
        <f t="shared" si="22"/>
        <v>2276.858933</v>
      </c>
      <c r="J39" s="74">
        <f t="shared" si="22"/>
        <v>5214.384533</v>
      </c>
      <c r="K39" s="74">
        <f t="shared" si="22"/>
        <v>8000.910133</v>
      </c>
      <c r="L39" s="74">
        <f t="shared" si="22"/>
        <v>10919.43573</v>
      </c>
      <c r="M39" s="74">
        <f t="shared" si="22"/>
        <v>13890.96133</v>
      </c>
      <c r="N39" s="74">
        <f t="shared" si="22"/>
        <v>21180.27533</v>
      </c>
      <c r="O39" s="74">
        <f t="shared" si="22"/>
        <v>21099.27533</v>
      </c>
      <c r="P39" s="74">
        <f t="shared" si="22"/>
        <v>21011.27533</v>
      </c>
    </row>
    <row r="40" ht="16.5" hidden="1" customHeight="1"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</row>
    <row r="41" ht="16.5" hidden="1" customHeight="1"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</row>
    <row r="42" ht="14.25" hidden="1" customHeight="1">
      <c r="D42" s="36" t="s">
        <v>150</v>
      </c>
      <c r="E42" s="36">
        <f t="shared" ref="E42:P42" si="23">SUM(E13:E14)</f>
        <v>39638</v>
      </c>
      <c r="F42" s="36">
        <f t="shared" si="23"/>
        <v>63420.8</v>
      </c>
      <c r="G42" s="36">
        <f t="shared" si="23"/>
        <v>55493.2</v>
      </c>
      <c r="H42" s="36">
        <f t="shared" si="23"/>
        <v>39638</v>
      </c>
      <c r="I42" s="36">
        <f t="shared" si="23"/>
        <v>15855.2</v>
      </c>
      <c r="J42" s="36">
        <f t="shared" si="23"/>
        <v>31710.4</v>
      </c>
      <c r="K42" s="36">
        <f t="shared" si="23"/>
        <v>47565.6</v>
      </c>
      <c r="L42" s="36">
        <f t="shared" si="23"/>
        <v>63420.8</v>
      </c>
      <c r="M42" s="36">
        <f t="shared" si="23"/>
        <v>79276</v>
      </c>
      <c r="N42" s="36">
        <f t="shared" si="23"/>
        <v>118914</v>
      </c>
      <c r="O42" s="36">
        <f t="shared" si="23"/>
        <v>118914</v>
      </c>
      <c r="P42" s="36">
        <f t="shared" si="23"/>
        <v>118914</v>
      </c>
    </row>
    <row r="43" ht="14.25" hidden="1" customHeight="1">
      <c r="D43" s="76" t="s">
        <v>151</v>
      </c>
      <c r="E43" s="36">
        <f t="shared" ref="E43:P43" si="24">SUM(E21:E22)</f>
        <v>31673.56</v>
      </c>
      <c r="F43" s="36">
        <f t="shared" si="24"/>
        <v>50677.696</v>
      </c>
      <c r="G43" s="36">
        <f t="shared" si="24"/>
        <v>44342.984</v>
      </c>
      <c r="H43" s="36">
        <f t="shared" si="24"/>
        <v>31673.56</v>
      </c>
      <c r="I43" s="36">
        <f t="shared" si="24"/>
        <v>12669.424</v>
      </c>
      <c r="J43" s="36">
        <f t="shared" si="24"/>
        <v>25338.848</v>
      </c>
      <c r="K43" s="36">
        <f t="shared" si="24"/>
        <v>38008.272</v>
      </c>
      <c r="L43" s="36">
        <f t="shared" si="24"/>
        <v>50677.696</v>
      </c>
      <c r="M43" s="36">
        <f t="shared" si="24"/>
        <v>63347.12</v>
      </c>
      <c r="N43" s="36">
        <f t="shared" si="24"/>
        <v>95020.68</v>
      </c>
      <c r="O43" s="36">
        <f t="shared" si="24"/>
        <v>95020.68</v>
      </c>
      <c r="P43" s="36">
        <f t="shared" si="24"/>
        <v>95020.68</v>
      </c>
    </row>
    <row r="44" ht="14.25" hidden="1" customHeight="1">
      <c r="D44" s="76" t="s">
        <v>153</v>
      </c>
      <c r="E44" s="36">
        <f t="shared" ref="E44:P44" si="25">E42-E43</f>
        <v>7964.44</v>
      </c>
      <c r="F44" s="36">
        <f t="shared" si="25"/>
        <v>12743.104</v>
      </c>
      <c r="G44" s="36">
        <f t="shared" si="25"/>
        <v>11150.216</v>
      </c>
      <c r="H44" s="36">
        <f t="shared" si="25"/>
        <v>7964.44</v>
      </c>
      <c r="I44" s="36">
        <f t="shared" si="25"/>
        <v>3185.776</v>
      </c>
      <c r="J44" s="36">
        <f t="shared" si="25"/>
        <v>6371.552</v>
      </c>
      <c r="K44" s="36">
        <f t="shared" si="25"/>
        <v>9557.328</v>
      </c>
      <c r="L44" s="36">
        <f t="shared" si="25"/>
        <v>12743.104</v>
      </c>
      <c r="M44" s="36">
        <f t="shared" si="25"/>
        <v>15928.88</v>
      </c>
      <c r="N44" s="36">
        <f t="shared" si="25"/>
        <v>23893.32</v>
      </c>
      <c r="O44" s="36">
        <f t="shared" si="25"/>
        <v>23893.32</v>
      </c>
      <c r="P44" s="36">
        <f t="shared" si="25"/>
        <v>23893.32</v>
      </c>
    </row>
    <row r="45" ht="14.25" hidden="1" customHeight="1">
      <c r="D45" s="76" t="s">
        <v>154</v>
      </c>
      <c r="E45" s="36">
        <v>-1244.395710030938</v>
      </c>
      <c r="F45" s="36">
        <v>-1935.4658844828555</v>
      </c>
      <c r="G45" s="36">
        <v>-3959.5547035912386</v>
      </c>
      <c r="H45" s="36">
        <v>-1278.6269167679966</v>
      </c>
      <c r="I45" s="36">
        <v>-3523.246291822332</v>
      </c>
      <c r="J45" s="36">
        <v>-1068.6955030649915</v>
      </c>
      <c r="K45" s="36">
        <v>-1479.602788475513</v>
      </c>
      <c r="L45" s="36">
        <v>-1943.95405001803</v>
      </c>
      <c r="M45" s="36">
        <v>-1459.0087573015735</v>
      </c>
      <c r="N45" s="36">
        <v>-1868.1807337870378</v>
      </c>
      <c r="O45" s="36">
        <v>-2538.1901102192824</v>
      </c>
      <c r="P45" s="36">
        <v>-1885.476748571531</v>
      </c>
    </row>
    <row r="46" ht="14.25" hidden="1" customHeight="1">
      <c r="D46" s="76" t="s">
        <v>156</v>
      </c>
      <c r="E46" s="77">
        <f t="shared" ref="E46:P46" si="26">E32/E11</f>
        <v>0.02123866828</v>
      </c>
      <c r="F46" s="77">
        <f t="shared" si="26"/>
        <v>0.02123866828</v>
      </c>
      <c r="G46" s="77">
        <f t="shared" si="26"/>
        <v>0.02123866828</v>
      </c>
      <c r="H46" s="77">
        <f t="shared" si="26"/>
        <v>0.02123866828</v>
      </c>
      <c r="I46" s="77">
        <f t="shared" si="26"/>
        <v>0.02123866828</v>
      </c>
      <c r="J46" s="77">
        <f t="shared" si="26"/>
        <v>0.02123866828</v>
      </c>
      <c r="K46" s="77">
        <f t="shared" si="26"/>
        <v>0.02123866828</v>
      </c>
      <c r="L46" s="77">
        <f t="shared" si="26"/>
        <v>0.02123866828</v>
      </c>
      <c r="M46" s="77">
        <f t="shared" si="26"/>
        <v>0.02123866828</v>
      </c>
      <c r="N46" s="77">
        <f t="shared" si="26"/>
        <v>0.02123866828</v>
      </c>
      <c r="O46" s="77">
        <f t="shared" si="26"/>
        <v>0.02123866828</v>
      </c>
      <c r="P46" s="77">
        <f t="shared" si="26"/>
        <v>0.02123866828</v>
      </c>
    </row>
    <row r="47" ht="14.25" hidden="1" customHeight="1">
      <c r="D47" s="76" t="s">
        <v>157</v>
      </c>
      <c r="E47" s="77">
        <f t="shared" ref="E47:P47" si="27">E31/E11</f>
        <v>0.0425307365</v>
      </c>
      <c r="F47" s="77">
        <f t="shared" si="27"/>
        <v>0.02693648351</v>
      </c>
      <c r="G47" s="77">
        <f t="shared" si="27"/>
        <v>0.03034906379</v>
      </c>
      <c r="H47" s="77">
        <f t="shared" si="27"/>
        <v>0.0425307365</v>
      </c>
      <c r="I47" s="77">
        <f t="shared" si="27"/>
        <v>0.1066947542</v>
      </c>
      <c r="J47" s="77">
        <f t="shared" si="27"/>
        <v>0.05258527171</v>
      </c>
      <c r="K47" s="77">
        <f t="shared" si="27"/>
        <v>0.03719424682</v>
      </c>
      <c r="L47" s="77">
        <f t="shared" si="27"/>
        <v>0.02776428764</v>
      </c>
      <c r="M47" s="77">
        <f t="shared" si="27"/>
        <v>0.02154918681</v>
      </c>
      <c r="N47" s="77">
        <f t="shared" si="27"/>
        <v>0.01423998296</v>
      </c>
      <c r="O47" s="77">
        <f t="shared" si="27"/>
        <v>0.01480762007</v>
      </c>
      <c r="P47" s="77">
        <f t="shared" si="27"/>
        <v>0.01542431225</v>
      </c>
    </row>
    <row r="48" ht="14.25" hidden="1" customHeight="1"/>
    <row r="49" ht="14.25" hidden="1" customHeight="1"/>
    <row r="50" ht="14.25" hidden="1" customHeight="1">
      <c r="D50" s="36">
        <f>D19-D38</f>
        <v>768901.12</v>
      </c>
    </row>
    <row r="51" ht="14.25" hidden="1" customHeight="1">
      <c r="D51" s="76">
        <f>D50/D19</f>
        <v>0.9786427349</v>
      </c>
    </row>
    <row r="52" ht="14.25" hidden="1" customHeight="1">
      <c r="D52" s="80">
        <f>(D31+D32)/D19*100</f>
        <v>5.725554408</v>
      </c>
    </row>
    <row r="53" ht="14.25" hidden="1" customHeight="1"/>
    <row r="54" ht="14.25" hidden="1" customHeight="1"/>
    <row r="55" ht="14.25" hidden="1" customHeight="1"/>
    <row r="56" ht="14.25" hidden="1" customHeight="1"/>
    <row r="57" ht="23.25" customHeight="1">
      <c r="D57" s="6"/>
      <c r="E57" s="6"/>
      <c r="F57" s="6"/>
      <c r="G57" s="6"/>
      <c r="H57" s="6"/>
      <c r="I57" s="6"/>
      <c r="J57" s="6"/>
      <c r="K57" s="81" t="s">
        <v>161</v>
      </c>
    </row>
    <row r="58" ht="14.25" customHeight="1"/>
    <row r="59" ht="14.25" customHeight="1">
      <c r="D59" s="36"/>
    </row>
    <row r="60" ht="14.25" customHeight="1">
      <c r="O60" s="36"/>
    </row>
    <row r="61" ht="14.25" customHeight="1">
      <c r="D61" s="3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ht="14.25" customHeight="1"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P1"/>
    <mergeCell ref="A2:P2"/>
    <mergeCell ref="Q3:Q4"/>
    <mergeCell ref="K57:N57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36.71"/>
    <col customWidth="1" min="3" max="3" width="10.71"/>
    <col customWidth="1" min="4" max="4" width="17.29"/>
    <col customWidth="1" min="5" max="6" width="14.71"/>
    <col customWidth="1" min="7" max="7" width="12.86"/>
    <col customWidth="1" min="8" max="13" width="12.71"/>
    <col customWidth="1" min="14" max="15" width="13.86"/>
    <col customWidth="1" min="16" max="16" width="12.86"/>
    <col customWidth="1" hidden="1" min="17" max="17" width="10.0"/>
    <col customWidth="1" min="18" max="26" width="8.0"/>
  </cols>
  <sheetData>
    <row r="1" ht="21.0" customHeight="1">
      <c r="A1" s="2" t="s">
        <v>0</v>
      </c>
    </row>
    <row r="2" ht="21.0" customHeight="1">
      <c r="A2" s="2" t="s">
        <v>4</v>
      </c>
    </row>
    <row r="3" ht="15.0" customHeight="1">
      <c r="D3" s="6">
        <f>SUM(E3:P3)</f>
        <v>1</v>
      </c>
      <c r="E3" s="6">
        <v>0.05</v>
      </c>
      <c r="F3" s="6">
        <v>0.08</v>
      </c>
      <c r="G3" s="6">
        <v>0.07</v>
      </c>
      <c r="H3" s="6">
        <v>0.05</v>
      </c>
      <c r="I3" s="6">
        <v>0.02</v>
      </c>
      <c r="J3" s="6">
        <v>0.04</v>
      </c>
      <c r="K3" s="6">
        <v>0.06</v>
      </c>
      <c r="L3" s="6">
        <v>0.08</v>
      </c>
      <c r="M3" s="6">
        <v>0.1</v>
      </c>
      <c r="N3" s="6">
        <v>0.15</v>
      </c>
      <c r="O3" s="6">
        <v>0.15</v>
      </c>
      <c r="P3" s="6">
        <v>0.15</v>
      </c>
      <c r="Q3" s="13" t="s">
        <v>18</v>
      </c>
    </row>
    <row r="4" ht="18.0" customHeight="1">
      <c r="A4" s="14" t="s">
        <v>19</v>
      </c>
      <c r="B4" s="14" t="s">
        <v>20</v>
      </c>
      <c r="C4" s="16" t="s">
        <v>21</v>
      </c>
      <c r="D4" s="19" t="s">
        <v>3</v>
      </c>
      <c r="E4" s="19" t="s">
        <v>5</v>
      </c>
      <c r="F4" s="19" t="s">
        <v>6</v>
      </c>
      <c r="G4" s="19" t="s">
        <v>7</v>
      </c>
      <c r="H4" s="19" t="s">
        <v>8</v>
      </c>
      <c r="I4" s="19" t="s">
        <v>9</v>
      </c>
      <c r="J4" s="19" t="s">
        <v>10</v>
      </c>
      <c r="K4" s="19" t="s">
        <v>11</v>
      </c>
      <c r="L4" s="19" t="s">
        <v>12</v>
      </c>
      <c r="M4" s="19" t="s">
        <v>13</v>
      </c>
      <c r="N4" s="19" t="s">
        <v>14</v>
      </c>
      <c r="O4" s="19" t="s">
        <v>15</v>
      </c>
      <c r="P4" s="19" t="s">
        <v>16</v>
      </c>
      <c r="Q4" s="15"/>
    </row>
    <row r="5" ht="15.75" customHeight="1">
      <c r="A5" s="21" t="s">
        <v>25</v>
      </c>
      <c r="B5" s="22" t="s">
        <v>26</v>
      </c>
      <c r="C5" s="23" t="s">
        <v>27</v>
      </c>
      <c r="D5" s="27">
        <f t="shared" ref="D5:P5" si="1">SUBTOTAL(9,D6:D7)</f>
        <v>4478624.64</v>
      </c>
      <c r="E5" s="27">
        <f t="shared" si="1"/>
        <v>558432</v>
      </c>
      <c r="F5" s="27">
        <f t="shared" si="1"/>
        <v>223372.8</v>
      </c>
      <c r="G5" s="27">
        <f t="shared" si="1"/>
        <v>134023.68</v>
      </c>
      <c r="H5" s="27">
        <f t="shared" si="1"/>
        <v>156360.96</v>
      </c>
      <c r="I5" s="27">
        <f t="shared" si="1"/>
        <v>446745.6</v>
      </c>
      <c r="J5" s="27">
        <f t="shared" si="1"/>
        <v>390902.4</v>
      </c>
      <c r="K5" s="27">
        <f t="shared" si="1"/>
        <v>390902.4</v>
      </c>
      <c r="L5" s="27">
        <f t="shared" si="1"/>
        <v>335059.2</v>
      </c>
      <c r="M5" s="27">
        <f t="shared" si="1"/>
        <v>390902.4</v>
      </c>
      <c r="N5" s="27">
        <f t="shared" si="1"/>
        <v>446745.6</v>
      </c>
      <c r="O5" s="27">
        <f t="shared" si="1"/>
        <v>446745.6</v>
      </c>
      <c r="P5" s="27">
        <f t="shared" si="1"/>
        <v>558432</v>
      </c>
      <c r="Q5" s="28">
        <v>0.05</v>
      </c>
    </row>
    <row r="6" ht="15.75" customHeight="1">
      <c r="A6" s="29">
        <v>1.0</v>
      </c>
      <c r="B6" s="30" t="s">
        <v>31</v>
      </c>
      <c r="C6" s="29" t="s">
        <v>32</v>
      </c>
      <c r="D6" s="12">
        <f t="shared" ref="D6:D7" si="2">SUM(E6:P6)</f>
        <v>1492874.88</v>
      </c>
      <c r="E6" s="12">
        <v>186144.0</v>
      </c>
      <c r="F6" s="12">
        <f>E6*40%</f>
        <v>74457.6</v>
      </c>
      <c r="G6" s="12">
        <f>F6*60%</f>
        <v>44674.56</v>
      </c>
      <c r="H6" s="12">
        <f>F6*70%</f>
        <v>52120.32</v>
      </c>
      <c r="I6" s="12">
        <f>E6*80%</f>
        <v>148915.2</v>
      </c>
      <c r="J6" s="12">
        <f>E6*70%</f>
        <v>130300.8</v>
      </c>
      <c r="K6" s="12">
        <f>E6*70%</f>
        <v>130300.8</v>
      </c>
      <c r="L6" s="12">
        <f>E6*60%</f>
        <v>111686.4</v>
      </c>
      <c r="M6" s="12">
        <f>E6*70%</f>
        <v>130300.8</v>
      </c>
      <c r="N6" s="12">
        <f>E6*80%</f>
        <v>148915.2</v>
      </c>
      <c r="O6" s="12">
        <f>E6*80%</f>
        <v>148915.2</v>
      </c>
      <c r="P6" s="12">
        <f>E6</f>
        <v>186144</v>
      </c>
      <c r="Q6" s="36">
        <v>120.0</v>
      </c>
    </row>
    <row r="7" ht="15.75" customHeight="1">
      <c r="A7" s="29">
        <v>2.0</v>
      </c>
      <c r="B7" s="30" t="s">
        <v>37</v>
      </c>
      <c r="C7" s="29" t="s">
        <v>32</v>
      </c>
      <c r="D7" s="12">
        <f t="shared" si="2"/>
        <v>2985749.76</v>
      </c>
      <c r="E7" s="12">
        <f t="shared" ref="E7:P7" si="3">E6*2</f>
        <v>372288</v>
      </c>
      <c r="F7" s="12">
        <f t="shared" si="3"/>
        <v>148915.2</v>
      </c>
      <c r="G7" s="12">
        <f t="shared" si="3"/>
        <v>89349.12</v>
      </c>
      <c r="H7" s="12">
        <f t="shared" si="3"/>
        <v>104240.64</v>
      </c>
      <c r="I7" s="12">
        <f t="shared" si="3"/>
        <v>297830.4</v>
      </c>
      <c r="J7" s="12">
        <f t="shared" si="3"/>
        <v>260601.6</v>
      </c>
      <c r="K7" s="12">
        <f t="shared" si="3"/>
        <v>260601.6</v>
      </c>
      <c r="L7" s="12">
        <f t="shared" si="3"/>
        <v>223372.8</v>
      </c>
      <c r="M7" s="12">
        <f t="shared" si="3"/>
        <v>260601.6</v>
      </c>
      <c r="N7" s="12">
        <f t="shared" si="3"/>
        <v>297830.4</v>
      </c>
      <c r="O7" s="12">
        <f t="shared" si="3"/>
        <v>297830.4</v>
      </c>
      <c r="P7" s="12">
        <f t="shared" si="3"/>
        <v>372288</v>
      </c>
      <c r="Q7" s="12" t="str">
        <f>$D$7*Q3</f>
        <v>#VALUE!</v>
      </c>
    </row>
    <row r="8" ht="15.75" customHeight="1">
      <c r="A8" s="21" t="s">
        <v>39</v>
      </c>
      <c r="B8" s="22" t="s">
        <v>40</v>
      </c>
      <c r="C8" s="23" t="s">
        <v>27</v>
      </c>
      <c r="D8" s="27">
        <f t="shared" ref="D8:P8" si="4">SUBTOTAL(9,D9:D10)</f>
        <v>10211282.88</v>
      </c>
      <c r="E8" s="27">
        <f t="shared" si="4"/>
        <v>1154856</v>
      </c>
      <c r="F8" s="27">
        <f t="shared" si="4"/>
        <v>461942.4</v>
      </c>
      <c r="G8" s="27">
        <f t="shared" si="4"/>
        <v>819644.16</v>
      </c>
      <c r="H8" s="27">
        <f t="shared" si="4"/>
        <v>730218.72</v>
      </c>
      <c r="I8" s="27">
        <f t="shared" si="4"/>
        <v>923884.8</v>
      </c>
      <c r="J8" s="27">
        <f t="shared" si="4"/>
        <v>808399.2</v>
      </c>
      <c r="K8" s="27">
        <f t="shared" si="4"/>
        <v>808399.2</v>
      </c>
      <c r="L8" s="27">
        <f t="shared" si="4"/>
        <v>692913.6</v>
      </c>
      <c r="M8" s="27">
        <f t="shared" si="4"/>
        <v>808399.2</v>
      </c>
      <c r="N8" s="27">
        <f t="shared" si="4"/>
        <v>923884.8</v>
      </c>
      <c r="O8" s="27">
        <f t="shared" si="4"/>
        <v>923884.8</v>
      </c>
      <c r="P8" s="27">
        <f t="shared" si="4"/>
        <v>1154856</v>
      </c>
      <c r="R8" s="36"/>
    </row>
    <row r="9" ht="15.75" customHeight="1">
      <c r="A9" s="42">
        <v>1.0</v>
      </c>
      <c r="B9" s="30" t="s">
        <v>31</v>
      </c>
      <c r="C9" s="42" t="s">
        <v>32</v>
      </c>
      <c r="D9" s="12">
        <f t="shared" ref="D9:D10" si="6">SUM(E9:P9)</f>
        <v>1492874.88</v>
      </c>
      <c r="E9" s="12">
        <f t="shared" ref="E9:P9" si="5">E6</f>
        <v>186144</v>
      </c>
      <c r="F9" s="12">
        <f t="shared" si="5"/>
        <v>74457.6</v>
      </c>
      <c r="G9" s="12">
        <f t="shared" si="5"/>
        <v>44674.56</v>
      </c>
      <c r="H9" s="12">
        <f t="shared" si="5"/>
        <v>52120.32</v>
      </c>
      <c r="I9" s="12">
        <f t="shared" si="5"/>
        <v>148915.2</v>
      </c>
      <c r="J9" s="12">
        <f t="shared" si="5"/>
        <v>130300.8</v>
      </c>
      <c r="K9" s="12">
        <f t="shared" si="5"/>
        <v>130300.8</v>
      </c>
      <c r="L9" s="12">
        <f t="shared" si="5"/>
        <v>111686.4</v>
      </c>
      <c r="M9" s="12">
        <f t="shared" si="5"/>
        <v>130300.8</v>
      </c>
      <c r="N9" s="12">
        <f t="shared" si="5"/>
        <v>148915.2</v>
      </c>
      <c r="O9" s="12">
        <f t="shared" si="5"/>
        <v>148915.2</v>
      </c>
      <c r="P9" s="12">
        <f t="shared" si="5"/>
        <v>186144</v>
      </c>
    </row>
    <row r="10" ht="15.75" customHeight="1">
      <c r="A10" s="42">
        <v>2.0</v>
      </c>
      <c r="B10" s="30" t="s">
        <v>37</v>
      </c>
      <c r="C10" s="42" t="s">
        <v>32</v>
      </c>
      <c r="D10" s="12">
        <f t="shared" si="6"/>
        <v>8718408</v>
      </c>
      <c r="E10" s="12">
        <f>1341000-E7</f>
        <v>968712</v>
      </c>
      <c r="F10" s="12">
        <f>E10*0.4</f>
        <v>387484.8</v>
      </c>
      <c r="G10" s="12">
        <f>E10*0.8</f>
        <v>774969.6</v>
      </c>
      <c r="H10" s="12">
        <f>E10*70%</f>
        <v>678098.4</v>
      </c>
      <c r="I10" s="12">
        <f>E10*80%</f>
        <v>774969.6</v>
      </c>
      <c r="J10" s="12">
        <f>E10*70%</f>
        <v>678098.4</v>
      </c>
      <c r="K10" s="12">
        <f>E10*70%</f>
        <v>678098.4</v>
      </c>
      <c r="L10" s="12">
        <f>E10*60%</f>
        <v>581227.2</v>
      </c>
      <c r="M10" s="12">
        <f>E10*70%</f>
        <v>678098.4</v>
      </c>
      <c r="N10" s="12">
        <f>E10*80%</f>
        <v>774969.6</v>
      </c>
      <c r="O10" s="12">
        <f>E10*80%</f>
        <v>774969.6</v>
      </c>
      <c r="P10" s="12">
        <f>E10</f>
        <v>968712</v>
      </c>
    </row>
    <row r="11" ht="15.75" customHeight="1">
      <c r="A11" s="21" t="s">
        <v>46</v>
      </c>
      <c r="B11" s="22" t="s">
        <v>29</v>
      </c>
      <c r="C11" s="23"/>
      <c r="D11" s="27">
        <f t="shared" ref="D11:P11" si="7">+D12+D18</f>
        <v>1476155.055</v>
      </c>
      <c r="E11" s="27">
        <f t="shared" si="7"/>
        <v>181691.808</v>
      </c>
      <c r="F11" s="27">
        <f t="shared" si="7"/>
        <v>72676.7232</v>
      </c>
      <c r="G11" s="27">
        <f t="shared" si="7"/>
        <v>54455.60832</v>
      </c>
      <c r="H11" s="27">
        <f t="shared" si="7"/>
        <v>59010.88704</v>
      </c>
      <c r="I11" s="27">
        <f t="shared" si="7"/>
        <v>145353.4464</v>
      </c>
      <c r="J11" s="27">
        <f t="shared" si="7"/>
        <v>127184.2656</v>
      </c>
      <c r="K11" s="27">
        <f t="shared" si="7"/>
        <v>127184.2656</v>
      </c>
      <c r="L11" s="27">
        <f t="shared" si="7"/>
        <v>109015.0848</v>
      </c>
      <c r="M11" s="27">
        <f t="shared" si="7"/>
        <v>127184.2656</v>
      </c>
      <c r="N11" s="27">
        <f t="shared" si="7"/>
        <v>145353.4464</v>
      </c>
      <c r="O11" s="27">
        <f t="shared" si="7"/>
        <v>145353.4464</v>
      </c>
      <c r="P11" s="27">
        <f t="shared" si="7"/>
        <v>181691.808</v>
      </c>
    </row>
    <row r="12" ht="15.75" customHeight="1">
      <c r="A12" s="43" t="s">
        <v>34</v>
      </c>
      <c r="B12" s="44" t="s">
        <v>36</v>
      </c>
      <c r="C12" s="29" t="s">
        <v>49</v>
      </c>
      <c r="D12" s="18">
        <f t="shared" ref="D12:P12" si="8">SUBTOTAL(9,D13:D14)</f>
        <v>1015154.918</v>
      </c>
      <c r="E12" s="18">
        <f t="shared" si="8"/>
        <v>126577.92</v>
      </c>
      <c r="F12" s="18">
        <f t="shared" si="8"/>
        <v>50631.168</v>
      </c>
      <c r="G12" s="18">
        <f t="shared" si="8"/>
        <v>30378.7008</v>
      </c>
      <c r="H12" s="18">
        <f t="shared" si="8"/>
        <v>35441.8176</v>
      </c>
      <c r="I12" s="18">
        <f t="shared" si="8"/>
        <v>101262.336</v>
      </c>
      <c r="J12" s="18">
        <f t="shared" si="8"/>
        <v>88604.544</v>
      </c>
      <c r="K12" s="18">
        <f t="shared" si="8"/>
        <v>88604.544</v>
      </c>
      <c r="L12" s="18">
        <f t="shared" si="8"/>
        <v>75946.752</v>
      </c>
      <c r="M12" s="18">
        <f t="shared" si="8"/>
        <v>88604.544</v>
      </c>
      <c r="N12" s="18">
        <f t="shared" si="8"/>
        <v>101262.336</v>
      </c>
      <c r="O12" s="18">
        <f t="shared" si="8"/>
        <v>101262.336</v>
      </c>
      <c r="P12" s="18">
        <f t="shared" si="8"/>
        <v>126577.92</v>
      </c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29">
        <v>1.0</v>
      </c>
      <c r="B13" s="30" t="s">
        <v>31</v>
      </c>
      <c r="C13" s="29" t="s">
        <v>49</v>
      </c>
      <c r="D13" s="12">
        <f t="shared" ref="D13:D14" si="10">SUM(E13:P13)</f>
        <v>895724.928</v>
      </c>
      <c r="E13" s="12">
        <f t="shared" ref="E13:P13" si="9">+E16*E6</f>
        <v>111686.4</v>
      </c>
      <c r="F13" s="12">
        <f t="shared" si="9"/>
        <v>44674.56</v>
      </c>
      <c r="G13" s="12">
        <f t="shared" si="9"/>
        <v>26804.736</v>
      </c>
      <c r="H13" s="12">
        <f t="shared" si="9"/>
        <v>31272.192</v>
      </c>
      <c r="I13" s="12">
        <f t="shared" si="9"/>
        <v>89349.12</v>
      </c>
      <c r="J13" s="12">
        <f t="shared" si="9"/>
        <v>78180.48</v>
      </c>
      <c r="K13" s="12">
        <f t="shared" si="9"/>
        <v>78180.48</v>
      </c>
      <c r="L13" s="12">
        <f t="shared" si="9"/>
        <v>67011.84</v>
      </c>
      <c r="M13" s="12">
        <f t="shared" si="9"/>
        <v>78180.48</v>
      </c>
      <c r="N13" s="12">
        <f t="shared" si="9"/>
        <v>89349.12</v>
      </c>
      <c r="O13" s="12">
        <f t="shared" si="9"/>
        <v>89349.12</v>
      </c>
      <c r="P13" s="12">
        <f t="shared" si="9"/>
        <v>111686.4</v>
      </c>
    </row>
    <row r="14" ht="15.75" customHeight="1">
      <c r="A14" s="29">
        <v>2.0</v>
      </c>
      <c r="B14" s="30" t="s">
        <v>37</v>
      </c>
      <c r="C14" s="29" t="s">
        <v>49</v>
      </c>
      <c r="D14" s="12">
        <f t="shared" si="10"/>
        <v>119429.9904</v>
      </c>
      <c r="E14" s="12">
        <f t="shared" ref="E14:P14" si="11">E7*E17</f>
        <v>14891.52</v>
      </c>
      <c r="F14" s="12">
        <f t="shared" si="11"/>
        <v>5956.608</v>
      </c>
      <c r="G14" s="12">
        <f t="shared" si="11"/>
        <v>3573.9648</v>
      </c>
      <c r="H14" s="12">
        <f t="shared" si="11"/>
        <v>4169.6256</v>
      </c>
      <c r="I14" s="12">
        <f t="shared" si="11"/>
        <v>11913.216</v>
      </c>
      <c r="J14" s="12">
        <f t="shared" si="11"/>
        <v>10424.064</v>
      </c>
      <c r="K14" s="12">
        <f t="shared" si="11"/>
        <v>10424.064</v>
      </c>
      <c r="L14" s="12">
        <f t="shared" si="11"/>
        <v>8934.912</v>
      </c>
      <c r="M14" s="12">
        <f t="shared" si="11"/>
        <v>10424.064</v>
      </c>
      <c r="N14" s="12">
        <f t="shared" si="11"/>
        <v>11913.216</v>
      </c>
      <c r="O14" s="12">
        <f t="shared" si="11"/>
        <v>11913.216</v>
      </c>
      <c r="P14" s="12">
        <f t="shared" si="11"/>
        <v>14891.52</v>
      </c>
    </row>
    <row r="15" ht="15.75" customHeight="1">
      <c r="A15" s="47"/>
      <c r="B15" s="48" t="s">
        <v>60</v>
      </c>
      <c r="C15" s="47" t="s">
        <v>49</v>
      </c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50">
        <v>1.0</v>
      </c>
      <c r="B16" s="30" t="s">
        <v>31</v>
      </c>
      <c r="C16" s="50" t="s">
        <v>49</v>
      </c>
      <c r="D16" s="39">
        <f t="shared" ref="D16:D17" si="12">+D13/D9</f>
        <v>0.6</v>
      </c>
      <c r="E16" s="39">
        <v>0.6</v>
      </c>
      <c r="F16" s="39">
        <v>0.6</v>
      </c>
      <c r="G16" s="39">
        <v>0.6</v>
      </c>
      <c r="H16" s="39">
        <v>0.6</v>
      </c>
      <c r="I16" s="39">
        <v>0.6</v>
      </c>
      <c r="J16" s="39">
        <v>0.6</v>
      </c>
      <c r="K16" s="39">
        <v>0.6</v>
      </c>
      <c r="L16" s="39">
        <v>0.6</v>
      </c>
      <c r="M16" s="39">
        <v>0.6</v>
      </c>
      <c r="N16" s="39">
        <v>0.6</v>
      </c>
      <c r="O16" s="39">
        <v>0.6</v>
      </c>
      <c r="P16" s="39">
        <v>0.6</v>
      </c>
      <c r="Q16" s="51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50">
        <v>2.0</v>
      </c>
      <c r="B17" s="30" t="s">
        <v>37</v>
      </c>
      <c r="C17" s="50" t="s">
        <v>49</v>
      </c>
      <c r="D17" s="39">
        <f t="shared" si="12"/>
        <v>0.01369860075</v>
      </c>
      <c r="E17" s="39">
        <v>0.04</v>
      </c>
      <c r="F17" s="39">
        <v>0.04</v>
      </c>
      <c r="G17" s="39">
        <v>0.04</v>
      </c>
      <c r="H17" s="39">
        <v>0.04</v>
      </c>
      <c r="I17" s="39">
        <v>0.04</v>
      </c>
      <c r="J17" s="39">
        <v>0.04</v>
      </c>
      <c r="K17" s="39">
        <v>0.04</v>
      </c>
      <c r="L17" s="39">
        <v>0.04</v>
      </c>
      <c r="M17" s="39">
        <v>0.04</v>
      </c>
      <c r="N17" s="39">
        <v>0.04</v>
      </c>
      <c r="O17" s="39">
        <v>0.04</v>
      </c>
      <c r="P17" s="39">
        <v>0.04</v>
      </c>
      <c r="Q17" s="51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43" t="s">
        <v>65</v>
      </c>
      <c r="B18" s="44" t="s">
        <v>66</v>
      </c>
      <c r="C18" s="29" t="s">
        <v>49</v>
      </c>
      <c r="D18" s="18">
        <f>SUM(E18:P18)</f>
        <v>461000.137</v>
      </c>
      <c r="E18" s="18">
        <f t="shared" ref="E18:P18" si="13">E9*E20+E10*E21</f>
        <v>55113.888</v>
      </c>
      <c r="F18" s="18">
        <f t="shared" si="13"/>
        <v>22045.5552</v>
      </c>
      <c r="G18" s="18">
        <f t="shared" si="13"/>
        <v>24076.90752</v>
      </c>
      <c r="H18" s="18">
        <f t="shared" si="13"/>
        <v>23569.06944</v>
      </c>
      <c r="I18" s="18">
        <f t="shared" si="13"/>
        <v>44091.1104</v>
      </c>
      <c r="J18" s="18">
        <f t="shared" si="13"/>
        <v>38579.7216</v>
      </c>
      <c r="K18" s="18">
        <f t="shared" si="13"/>
        <v>38579.7216</v>
      </c>
      <c r="L18" s="18">
        <f t="shared" si="13"/>
        <v>33068.3328</v>
      </c>
      <c r="M18" s="18">
        <f t="shared" si="13"/>
        <v>38579.7216</v>
      </c>
      <c r="N18" s="18">
        <f t="shared" si="13"/>
        <v>44091.1104</v>
      </c>
      <c r="O18" s="18">
        <f t="shared" si="13"/>
        <v>44091.1104</v>
      </c>
      <c r="P18" s="18">
        <f t="shared" si="13"/>
        <v>55113.888</v>
      </c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15.75" customHeight="1">
      <c r="A19" s="43"/>
      <c r="B19" s="48" t="s">
        <v>77</v>
      </c>
      <c r="C19" s="29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15.75" customHeight="1">
      <c r="A20" s="50">
        <v>1.0</v>
      </c>
      <c r="B20" s="53" t="s">
        <v>31</v>
      </c>
      <c r="C20" s="50" t="s">
        <v>49</v>
      </c>
      <c r="D20" s="54"/>
      <c r="E20" s="55">
        <v>0.192</v>
      </c>
      <c r="F20" s="55">
        <v>0.192</v>
      </c>
      <c r="G20" s="55">
        <v>0.192</v>
      </c>
      <c r="H20" s="55">
        <v>0.192</v>
      </c>
      <c r="I20" s="55">
        <v>0.192</v>
      </c>
      <c r="J20" s="55">
        <v>0.192</v>
      </c>
      <c r="K20" s="55">
        <v>0.192</v>
      </c>
      <c r="L20" s="55">
        <v>0.192</v>
      </c>
      <c r="M20" s="55">
        <v>0.192</v>
      </c>
      <c r="N20" s="55">
        <v>0.192</v>
      </c>
      <c r="O20" s="55">
        <v>0.192</v>
      </c>
      <c r="P20" s="55">
        <v>0.192</v>
      </c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50">
        <v>2.0</v>
      </c>
      <c r="B21" s="53" t="s">
        <v>82</v>
      </c>
      <c r="C21" s="50" t="s">
        <v>49</v>
      </c>
      <c r="D21" s="54"/>
      <c r="E21" s="55">
        <v>0.02</v>
      </c>
      <c r="F21" s="55">
        <v>0.02</v>
      </c>
      <c r="G21" s="55">
        <v>0.02</v>
      </c>
      <c r="H21" s="55">
        <v>0.02</v>
      </c>
      <c r="I21" s="55">
        <v>0.02</v>
      </c>
      <c r="J21" s="55">
        <v>0.02</v>
      </c>
      <c r="K21" s="55">
        <v>0.02</v>
      </c>
      <c r="L21" s="55">
        <v>0.02</v>
      </c>
      <c r="M21" s="55">
        <v>0.02</v>
      </c>
      <c r="N21" s="55">
        <v>0.02</v>
      </c>
      <c r="O21" s="55">
        <v>0.02</v>
      </c>
      <c r="P21" s="55">
        <v>0.02</v>
      </c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21" t="s">
        <v>68</v>
      </c>
      <c r="B22" s="22" t="s">
        <v>70</v>
      </c>
      <c r="C22" s="23"/>
      <c r="D22" s="27">
        <f t="shared" ref="D22:P22" si="14">+D23+D29</f>
        <v>1236041.041</v>
      </c>
      <c r="E22" s="27">
        <f t="shared" si="14"/>
        <v>151870.776</v>
      </c>
      <c r="F22" s="27">
        <f t="shared" si="14"/>
        <v>60748.3104</v>
      </c>
      <c r="G22" s="27">
        <f t="shared" si="14"/>
        <v>46756.08192</v>
      </c>
      <c r="H22" s="27">
        <f t="shared" si="14"/>
        <v>50254.13904</v>
      </c>
      <c r="I22" s="27">
        <f t="shared" si="14"/>
        <v>121496.6208</v>
      </c>
      <c r="J22" s="27">
        <f t="shared" si="14"/>
        <v>106309.5432</v>
      </c>
      <c r="K22" s="27">
        <f t="shared" si="14"/>
        <v>106309.5432</v>
      </c>
      <c r="L22" s="27">
        <f t="shared" si="14"/>
        <v>91122.4656</v>
      </c>
      <c r="M22" s="27">
        <f t="shared" si="14"/>
        <v>106309.5432</v>
      </c>
      <c r="N22" s="27">
        <f t="shared" si="14"/>
        <v>121496.6208</v>
      </c>
      <c r="O22" s="27">
        <f t="shared" si="14"/>
        <v>121496.6208</v>
      </c>
      <c r="P22" s="27">
        <f t="shared" si="14"/>
        <v>151870.776</v>
      </c>
    </row>
    <row r="23" ht="15.75" customHeight="1">
      <c r="A23" s="43" t="s">
        <v>34</v>
      </c>
      <c r="B23" s="44" t="s">
        <v>73</v>
      </c>
      <c r="C23" s="29" t="s">
        <v>49</v>
      </c>
      <c r="D23" s="18">
        <f t="shared" ref="D23:P23" si="15">SUBTOTAL(9,D24:D25)</f>
        <v>812123.9347</v>
      </c>
      <c r="E23" s="18">
        <f t="shared" si="15"/>
        <v>101262.336</v>
      </c>
      <c r="F23" s="18">
        <f t="shared" si="15"/>
        <v>40504.9344</v>
      </c>
      <c r="G23" s="18">
        <f t="shared" si="15"/>
        <v>24302.96064</v>
      </c>
      <c r="H23" s="18">
        <f t="shared" si="15"/>
        <v>28353.45408</v>
      </c>
      <c r="I23" s="18">
        <f t="shared" si="15"/>
        <v>81009.8688</v>
      </c>
      <c r="J23" s="18">
        <f t="shared" si="15"/>
        <v>70883.6352</v>
      </c>
      <c r="K23" s="18">
        <f t="shared" si="15"/>
        <v>70883.6352</v>
      </c>
      <c r="L23" s="18">
        <f t="shared" si="15"/>
        <v>60757.4016</v>
      </c>
      <c r="M23" s="18">
        <f t="shared" si="15"/>
        <v>70883.6352</v>
      </c>
      <c r="N23" s="18">
        <f t="shared" si="15"/>
        <v>81009.8688</v>
      </c>
      <c r="O23" s="18">
        <f t="shared" si="15"/>
        <v>81009.8688</v>
      </c>
      <c r="P23" s="18">
        <f t="shared" si="15"/>
        <v>101262.336</v>
      </c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ht="15.75" customHeight="1">
      <c r="A24" s="29">
        <v>1.0</v>
      </c>
      <c r="B24" s="30" t="s">
        <v>31</v>
      </c>
      <c r="C24" s="29" t="s">
        <v>49</v>
      </c>
      <c r="D24" s="12">
        <f t="shared" ref="D24:D25" si="17">SUM(E24:P24)</f>
        <v>734494.441</v>
      </c>
      <c r="E24" s="12">
        <f t="shared" ref="E24:P24" si="16">E6*E27</f>
        <v>91582.848</v>
      </c>
      <c r="F24" s="12">
        <f t="shared" si="16"/>
        <v>36633.1392</v>
      </c>
      <c r="G24" s="12">
        <f t="shared" si="16"/>
        <v>21979.88352</v>
      </c>
      <c r="H24" s="12">
        <f t="shared" si="16"/>
        <v>25643.19744</v>
      </c>
      <c r="I24" s="12">
        <f t="shared" si="16"/>
        <v>73266.2784</v>
      </c>
      <c r="J24" s="12">
        <f t="shared" si="16"/>
        <v>64107.9936</v>
      </c>
      <c r="K24" s="12">
        <f t="shared" si="16"/>
        <v>64107.9936</v>
      </c>
      <c r="L24" s="12">
        <f t="shared" si="16"/>
        <v>54949.7088</v>
      </c>
      <c r="M24" s="12">
        <f t="shared" si="16"/>
        <v>64107.9936</v>
      </c>
      <c r="N24" s="12">
        <f t="shared" si="16"/>
        <v>73266.2784</v>
      </c>
      <c r="O24" s="12">
        <f t="shared" si="16"/>
        <v>73266.2784</v>
      </c>
      <c r="P24" s="12">
        <f t="shared" si="16"/>
        <v>91582.848</v>
      </c>
    </row>
    <row r="25" ht="15.75" customHeight="1">
      <c r="A25" s="29">
        <v>2.0</v>
      </c>
      <c r="B25" s="30" t="s">
        <v>37</v>
      </c>
      <c r="C25" s="29" t="s">
        <v>49</v>
      </c>
      <c r="D25" s="12">
        <f t="shared" si="17"/>
        <v>77629.49376</v>
      </c>
      <c r="E25" s="12">
        <f t="shared" ref="E25:P25" si="18">E7*E28</f>
        <v>9679.488</v>
      </c>
      <c r="F25" s="12">
        <f t="shared" si="18"/>
        <v>3871.7952</v>
      </c>
      <c r="G25" s="12">
        <f t="shared" si="18"/>
        <v>2323.07712</v>
      </c>
      <c r="H25" s="12">
        <f t="shared" si="18"/>
        <v>2710.25664</v>
      </c>
      <c r="I25" s="12">
        <f t="shared" si="18"/>
        <v>7743.5904</v>
      </c>
      <c r="J25" s="12">
        <f t="shared" si="18"/>
        <v>6775.6416</v>
      </c>
      <c r="K25" s="12">
        <f t="shared" si="18"/>
        <v>6775.6416</v>
      </c>
      <c r="L25" s="12">
        <f t="shared" si="18"/>
        <v>5807.6928</v>
      </c>
      <c r="M25" s="12">
        <f t="shared" si="18"/>
        <v>6775.6416</v>
      </c>
      <c r="N25" s="12">
        <f t="shared" si="18"/>
        <v>7743.5904</v>
      </c>
      <c r="O25" s="12">
        <f t="shared" si="18"/>
        <v>7743.5904</v>
      </c>
      <c r="P25" s="12">
        <f t="shared" si="18"/>
        <v>9679.488</v>
      </c>
    </row>
    <row r="26" ht="15.75" customHeight="1">
      <c r="A26" s="47"/>
      <c r="B26" s="48" t="s">
        <v>85</v>
      </c>
      <c r="C26" s="47" t="s">
        <v>49</v>
      </c>
      <c r="D26" s="35"/>
      <c r="E26" s="39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50">
        <v>1.0</v>
      </c>
      <c r="B27" s="30" t="s">
        <v>31</v>
      </c>
      <c r="C27" s="50" t="s">
        <v>49</v>
      </c>
      <c r="D27" s="39">
        <f t="shared" ref="D27:D28" si="19">D24/D9</f>
        <v>0.492</v>
      </c>
      <c r="E27" s="39">
        <v>0.49199999999999994</v>
      </c>
      <c r="F27" s="39">
        <v>0.49199999999999994</v>
      </c>
      <c r="G27" s="39">
        <v>0.49199999999999994</v>
      </c>
      <c r="H27" s="39">
        <v>0.49199999999999994</v>
      </c>
      <c r="I27" s="39">
        <v>0.49199999999999994</v>
      </c>
      <c r="J27" s="39">
        <v>0.49199999999999994</v>
      </c>
      <c r="K27" s="39">
        <v>0.49199999999999994</v>
      </c>
      <c r="L27" s="39">
        <v>0.49199999999999994</v>
      </c>
      <c r="M27" s="39">
        <v>0.49199999999999994</v>
      </c>
      <c r="N27" s="39">
        <v>0.49199999999999994</v>
      </c>
      <c r="O27" s="39">
        <v>0.49199999999999994</v>
      </c>
      <c r="P27" s="39">
        <v>0.49199999999999994</v>
      </c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50">
        <v>2.0</v>
      </c>
      <c r="B28" s="30" t="s">
        <v>37</v>
      </c>
      <c r="C28" s="50" t="s">
        <v>49</v>
      </c>
      <c r="D28" s="39">
        <f t="shared" si="19"/>
        <v>0.00890409049</v>
      </c>
      <c r="E28" s="39">
        <v>0.026000000000000002</v>
      </c>
      <c r="F28" s="39">
        <v>0.026000000000000002</v>
      </c>
      <c r="G28" s="39">
        <v>0.026000000000000002</v>
      </c>
      <c r="H28" s="39">
        <v>0.026000000000000002</v>
      </c>
      <c r="I28" s="39">
        <v>0.026000000000000002</v>
      </c>
      <c r="J28" s="39">
        <v>0.026000000000000002</v>
      </c>
      <c r="K28" s="39">
        <v>0.026000000000000002</v>
      </c>
      <c r="L28" s="39">
        <v>0.026000000000000002</v>
      </c>
      <c r="M28" s="39">
        <v>0.026000000000000002</v>
      </c>
      <c r="N28" s="39">
        <v>0.026000000000000002</v>
      </c>
      <c r="O28" s="39">
        <v>0.026000000000000002</v>
      </c>
      <c r="P28" s="39">
        <v>0.026000000000000002</v>
      </c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3" t="s">
        <v>65</v>
      </c>
      <c r="B29" s="44" t="s">
        <v>91</v>
      </c>
      <c r="C29" s="29" t="s">
        <v>49</v>
      </c>
      <c r="D29" s="18">
        <f>SUM(E29:P29)</f>
        <v>423917.1062</v>
      </c>
      <c r="E29" s="18">
        <f t="shared" ref="E29:P29" si="20">E31*E9+E32*E10</f>
        <v>50608.44</v>
      </c>
      <c r="F29" s="18">
        <f t="shared" si="20"/>
        <v>20243.376</v>
      </c>
      <c r="G29" s="18">
        <f t="shared" si="20"/>
        <v>22453.12128</v>
      </c>
      <c r="H29" s="18">
        <f t="shared" si="20"/>
        <v>21900.68496</v>
      </c>
      <c r="I29" s="18">
        <f t="shared" si="20"/>
        <v>40486.752</v>
      </c>
      <c r="J29" s="18">
        <f t="shared" si="20"/>
        <v>35425.908</v>
      </c>
      <c r="K29" s="18">
        <f t="shared" si="20"/>
        <v>35425.908</v>
      </c>
      <c r="L29" s="18">
        <f t="shared" si="20"/>
        <v>30365.064</v>
      </c>
      <c r="M29" s="18">
        <f t="shared" si="20"/>
        <v>35425.908</v>
      </c>
      <c r="N29" s="18">
        <f t="shared" si="20"/>
        <v>40486.752</v>
      </c>
      <c r="O29" s="18">
        <f t="shared" si="20"/>
        <v>40486.752</v>
      </c>
      <c r="P29" s="18">
        <f t="shared" si="20"/>
        <v>50608.44</v>
      </c>
      <c r="Q29" s="36"/>
      <c r="R29" s="45"/>
      <c r="S29" s="45"/>
      <c r="T29" s="45"/>
      <c r="U29" s="45"/>
      <c r="V29" s="45"/>
      <c r="W29" s="45"/>
      <c r="X29" s="45"/>
      <c r="Y29" s="45"/>
      <c r="Z29" s="45"/>
    </row>
    <row r="30" ht="15.75" customHeight="1">
      <c r="A30" s="43"/>
      <c r="B30" s="48" t="s">
        <v>111</v>
      </c>
      <c r="C30" s="29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36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A31" s="50">
        <v>1.0</v>
      </c>
      <c r="B31" s="30" t="s">
        <v>31</v>
      </c>
      <c r="C31" s="50" t="s">
        <v>49</v>
      </c>
      <c r="D31" s="39">
        <f t="shared" ref="D31:D32" si="21">D28/D13</f>
        <v>0.000000009940652774</v>
      </c>
      <c r="E31" s="39">
        <v>0.173</v>
      </c>
      <c r="F31" s="39">
        <v>0.173</v>
      </c>
      <c r="G31" s="39">
        <v>0.173</v>
      </c>
      <c r="H31" s="39">
        <v>0.173</v>
      </c>
      <c r="I31" s="39">
        <v>0.173</v>
      </c>
      <c r="J31" s="39">
        <v>0.173</v>
      </c>
      <c r="K31" s="39">
        <v>0.173</v>
      </c>
      <c r="L31" s="39">
        <v>0.173</v>
      </c>
      <c r="M31" s="39">
        <v>0.173</v>
      </c>
      <c r="N31" s="39">
        <v>0.173</v>
      </c>
      <c r="O31" s="39">
        <v>0.173</v>
      </c>
      <c r="P31" s="39">
        <v>0.173</v>
      </c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50">
        <v>2.0</v>
      </c>
      <c r="B32" s="30" t="s">
        <v>37</v>
      </c>
      <c r="C32" s="50" t="s">
        <v>49</v>
      </c>
      <c r="D32" s="39">
        <f t="shared" si="21"/>
        <v>3.549502975</v>
      </c>
      <c r="E32" s="39">
        <v>0.019</v>
      </c>
      <c r="F32" s="39">
        <v>0.019</v>
      </c>
      <c r="G32" s="39">
        <v>0.019</v>
      </c>
      <c r="H32" s="39">
        <v>0.019</v>
      </c>
      <c r="I32" s="39">
        <v>0.019</v>
      </c>
      <c r="J32" s="39">
        <v>0.019</v>
      </c>
      <c r="K32" s="39">
        <v>0.019</v>
      </c>
      <c r="L32" s="39">
        <v>0.019</v>
      </c>
      <c r="M32" s="39">
        <v>0.019</v>
      </c>
      <c r="N32" s="39">
        <v>0.019</v>
      </c>
      <c r="O32" s="39">
        <v>0.019</v>
      </c>
      <c r="P32" s="39">
        <v>0.019</v>
      </c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21" t="s">
        <v>94</v>
      </c>
      <c r="B33" s="22" t="s">
        <v>96</v>
      </c>
      <c r="C33" s="23" t="s">
        <v>49</v>
      </c>
      <c r="D33" s="27">
        <f>SUM(E33:P33)</f>
        <v>240114.0144</v>
      </c>
      <c r="E33" s="27">
        <f t="shared" ref="E33:P33" si="22">+E11-E22</f>
        <v>29821.032</v>
      </c>
      <c r="F33" s="27">
        <f t="shared" si="22"/>
        <v>11928.4128</v>
      </c>
      <c r="G33" s="27">
        <f t="shared" si="22"/>
        <v>7699.5264</v>
      </c>
      <c r="H33" s="27">
        <f t="shared" si="22"/>
        <v>8756.748</v>
      </c>
      <c r="I33" s="27">
        <f t="shared" si="22"/>
        <v>23856.8256</v>
      </c>
      <c r="J33" s="27">
        <f t="shared" si="22"/>
        <v>20874.7224</v>
      </c>
      <c r="K33" s="27">
        <f t="shared" si="22"/>
        <v>20874.7224</v>
      </c>
      <c r="L33" s="27">
        <f t="shared" si="22"/>
        <v>17892.6192</v>
      </c>
      <c r="M33" s="27">
        <f t="shared" si="22"/>
        <v>20874.7224</v>
      </c>
      <c r="N33" s="27">
        <f t="shared" si="22"/>
        <v>23856.8256</v>
      </c>
      <c r="O33" s="27">
        <f t="shared" si="22"/>
        <v>23856.8256</v>
      </c>
      <c r="P33" s="27">
        <f t="shared" si="22"/>
        <v>29821.032</v>
      </c>
    </row>
    <row r="34" ht="15.75" customHeight="1">
      <c r="A34" s="29"/>
      <c r="B34" s="30" t="s">
        <v>101</v>
      </c>
      <c r="C34" s="29"/>
      <c r="D34" s="57">
        <f t="shared" ref="D34:P34" si="23">IFERROR(D33/D11,0)</f>
        <v>0.1626617838</v>
      </c>
      <c r="E34" s="57">
        <f t="shared" si="23"/>
        <v>0.1641297554</v>
      </c>
      <c r="F34" s="57">
        <f t="shared" si="23"/>
        <v>0.1641297554</v>
      </c>
      <c r="G34" s="57">
        <f t="shared" si="23"/>
        <v>0.1413908803</v>
      </c>
      <c r="H34" s="57">
        <f t="shared" si="23"/>
        <v>0.1483920754</v>
      </c>
      <c r="I34" s="57">
        <f t="shared" si="23"/>
        <v>0.1641297554</v>
      </c>
      <c r="J34" s="57">
        <f t="shared" si="23"/>
        <v>0.1641297554</v>
      </c>
      <c r="K34" s="57">
        <f t="shared" si="23"/>
        <v>0.1641297554</v>
      </c>
      <c r="L34" s="57">
        <f t="shared" si="23"/>
        <v>0.1641297554</v>
      </c>
      <c r="M34" s="57">
        <f t="shared" si="23"/>
        <v>0.1641297554</v>
      </c>
      <c r="N34" s="57">
        <f t="shared" si="23"/>
        <v>0.1641297554</v>
      </c>
      <c r="O34" s="57">
        <f t="shared" si="23"/>
        <v>0.1641297554</v>
      </c>
      <c r="P34" s="57">
        <f t="shared" si="23"/>
        <v>0.1641297554</v>
      </c>
    </row>
    <row r="35" ht="15.75" customHeight="1">
      <c r="A35" s="21" t="s">
        <v>105</v>
      </c>
      <c r="B35" s="22" t="s">
        <v>106</v>
      </c>
      <c r="C35" s="23"/>
      <c r="D35" s="27">
        <f t="shared" ref="D35:D38" si="24">SUM(E35:P35)</f>
        <v>0</v>
      </c>
      <c r="E35" s="27">
        <v>0.0</v>
      </c>
      <c r="F35" s="27">
        <v>0.0</v>
      </c>
      <c r="G35" s="27">
        <v>0.0</v>
      </c>
      <c r="H35" s="27">
        <v>0.0</v>
      </c>
      <c r="I35" s="27">
        <v>0.0</v>
      </c>
      <c r="J35" s="27">
        <v>0.0</v>
      </c>
      <c r="K35" s="27">
        <v>0.0</v>
      </c>
      <c r="L35" s="27">
        <v>0.0</v>
      </c>
      <c r="M35" s="27">
        <v>0.0</v>
      </c>
      <c r="N35" s="27">
        <v>0.0</v>
      </c>
      <c r="O35" s="27">
        <v>0.0</v>
      </c>
      <c r="P35" s="27">
        <v>0.0</v>
      </c>
    </row>
    <row r="36" ht="15.75" customHeight="1">
      <c r="A36" s="21" t="s">
        <v>109</v>
      </c>
      <c r="B36" s="22" t="s">
        <v>110</v>
      </c>
      <c r="C36" s="23" t="s">
        <v>49</v>
      </c>
      <c r="D36" s="27">
        <f t="shared" si="24"/>
        <v>37424.21918</v>
      </c>
      <c r="E36" s="27">
        <f t="shared" ref="E36:P36" si="25">510000*7.2%/365*31</f>
        <v>3118.684932</v>
      </c>
      <c r="F36" s="27">
        <f t="shared" si="25"/>
        <v>3118.684932</v>
      </c>
      <c r="G36" s="27">
        <f t="shared" si="25"/>
        <v>3118.684932</v>
      </c>
      <c r="H36" s="27">
        <f t="shared" si="25"/>
        <v>3118.684932</v>
      </c>
      <c r="I36" s="27">
        <f t="shared" si="25"/>
        <v>3118.684932</v>
      </c>
      <c r="J36" s="27">
        <f t="shared" si="25"/>
        <v>3118.684932</v>
      </c>
      <c r="K36" s="27">
        <f t="shared" si="25"/>
        <v>3118.684932</v>
      </c>
      <c r="L36" s="27">
        <f t="shared" si="25"/>
        <v>3118.684932</v>
      </c>
      <c r="M36" s="27">
        <f t="shared" si="25"/>
        <v>3118.684932</v>
      </c>
      <c r="N36" s="27">
        <f t="shared" si="25"/>
        <v>3118.684932</v>
      </c>
      <c r="O36" s="27">
        <f t="shared" si="25"/>
        <v>3118.684932</v>
      </c>
      <c r="P36" s="27">
        <f t="shared" si="25"/>
        <v>3118.684932</v>
      </c>
    </row>
    <row r="37" ht="15.75" customHeight="1">
      <c r="A37" s="21" t="s">
        <v>116</v>
      </c>
      <c r="B37" s="22" t="s">
        <v>117</v>
      </c>
      <c r="C37" s="23" t="s">
        <v>49</v>
      </c>
      <c r="D37" s="27">
        <f t="shared" si="24"/>
        <v>73807.75277</v>
      </c>
      <c r="E37" s="27">
        <f t="shared" ref="E37:P37" si="26">E11*5%</f>
        <v>9084.5904</v>
      </c>
      <c r="F37" s="27">
        <f t="shared" si="26"/>
        <v>3633.83616</v>
      </c>
      <c r="G37" s="27">
        <f t="shared" si="26"/>
        <v>2722.780416</v>
      </c>
      <c r="H37" s="27">
        <f t="shared" si="26"/>
        <v>2950.544352</v>
      </c>
      <c r="I37" s="27">
        <f t="shared" si="26"/>
        <v>7267.67232</v>
      </c>
      <c r="J37" s="27">
        <f t="shared" si="26"/>
        <v>6359.21328</v>
      </c>
      <c r="K37" s="27">
        <f t="shared" si="26"/>
        <v>6359.21328</v>
      </c>
      <c r="L37" s="27">
        <f t="shared" si="26"/>
        <v>5450.75424</v>
      </c>
      <c r="M37" s="27">
        <f t="shared" si="26"/>
        <v>6359.21328</v>
      </c>
      <c r="N37" s="27">
        <f t="shared" si="26"/>
        <v>7267.67232</v>
      </c>
      <c r="O37" s="27">
        <f t="shared" si="26"/>
        <v>7267.67232</v>
      </c>
      <c r="P37" s="27">
        <f t="shared" si="26"/>
        <v>9084.5904</v>
      </c>
    </row>
    <row r="38" ht="15.75" customHeight="1">
      <c r="A38" s="21" t="s">
        <v>34</v>
      </c>
      <c r="B38" s="22" t="s">
        <v>121</v>
      </c>
      <c r="C38" s="23" t="s">
        <v>49</v>
      </c>
      <c r="D38" s="27">
        <f t="shared" si="24"/>
        <v>29523.10111</v>
      </c>
      <c r="E38" s="27">
        <f t="shared" ref="E38:P38" si="27">E11*2%</f>
        <v>3633.83616</v>
      </c>
      <c r="F38" s="27">
        <f t="shared" si="27"/>
        <v>1453.534464</v>
      </c>
      <c r="G38" s="27">
        <f t="shared" si="27"/>
        <v>1089.112166</v>
      </c>
      <c r="H38" s="27">
        <f t="shared" si="27"/>
        <v>1180.217741</v>
      </c>
      <c r="I38" s="27">
        <f t="shared" si="27"/>
        <v>2907.068928</v>
      </c>
      <c r="J38" s="27">
        <f t="shared" si="27"/>
        <v>2543.685312</v>
      </c>
      <c r="K38" s="27">
        <f t="shared" si="27"/>
        <v>2543.685312</v>
      </c>
      <c r="L38" s="27">
        <f t="shared" si="27"/>
        <v>2180.301696</v>
      </c>
      <c r="M38" s="27">
        <f t="shared" si="27"/>
        <v>2543.685312</v>
      </c>
      <c r="N38" s="27">
        <f t="shared" si="27"/>
        <v>2907.068928</v>
      </c>
      <c r="O38" s="27">
        <f t="shared" si="27"/>
        <v>2907.068928</v>
      </c>
      <c r="P38" s="27">
        <f t="shared" si="27"/>
        <v>3633.83616</v>
      </c>
    </row>
    <row r="39" ht="15.75" customHeight="1">
      <c r="A39" s="61" t="s">
        <v>124</v>
      </c>
      <c r="B39" s="62" t="s">
        <v>125</v>
      </c>
      <c r="C39" s="63" t="s">
        <v>49</v>
      </c>
      <c r="D39" s="27">
        <f t="shared" ref="D39:P39" si="28">+D33+D35-D36-D37-D38</f>
        <v>99358.94135</v>
      </c>
      <c r="E39" s="27">
        <f t="shared" si="28"/>
        <v>13983.92051</v>
      </c>
      <c r="F39" s="27">
        <f t="shared" si="28"/>
        <v>3722.357244</v>
      </c>
      <c r="G39" s="27">
        <f t="shared" si="28"/>
        <v>768.9488861</v>
      </c>
      <c r="H39" s="27">
        <f t="shared" si="28"/>
        <v>1507.300976</v>
      </c>
      <c r="I39" s="27">
        <f t="shared" si="28"/>
        <v>10563.39942</v>
      </c>
      <c r="J39" s="27">
        <f t="shared" si="28"/>
        <v>8853.138876</v>
      </c>
      <c r="K39" s="27">
        <f t="shared" si="28"/>
        <v>8853.138876</v>
      </c>
      <c r="L39" s="27">
        <f t="shared" si="28"/>
        <v>7142.878332</v>
      </c>
      <c r="M39" s="27">
        <f t="shared" si="28"/>
        <v>8853.138876</v>
      </c>
      <c r="N39" s="27">
        <f t="shared" si="28"/>
        <v>10563.39942</v>
      </c>
      <c r="O39" s="27">
        <f t="shared" si="28"/>
        <v>10563.39942</v>
      </c>
      <c r="P39" s="27">
        <f t="shared" si="28"/>
        <v>13983.92051</v>
      </c>
    </row>
    <row r="40" ht="15.75" hidden="1" customHeight="1">
      <c r="A40" s="29"/>
      <c r="B40" s="30" t="s">
        <v>131</v>
      </c>
      <c r="C40" s="29" t="s">
        <v>49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ht="15.75" hidden="1" customHeight="1">
      <c r="A41" s="29"/>
      <c r="B41" s="30" t="s">
        <v>134</v>
      </c>
      <c r="C41" s="29" t="s">
        <v>49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ht="15.75" customHeight="1">
      <c r="A42" s="61" t="s">
        <v>137</v>
      </c>
      <c r="B42" s="62" t="s">
        <v>138</v>
      </c>
      <c r="C42" s="63"/>
      <c r="D42" s="27">
        <f>+D40-D41</f>
        <v>0</v>
      </c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</row>
    <row r="43" ht="15.75" customHeight="1">
      <c r="A43" s="67" t="s">
        <v>141</v>
      </c>
      <c r="B43" s="68" t="s">
        <v>143</v>
      </c>
      <c r="C43" s="69" t="s">
        <v>49</v>
      </c>
      <c r="D43" s="70">
        <f t="shared" ref="D43:P43" si="29">+D39+D42</f>
        <v>99358.94135</v>
      </c>
      <c r="E43" s="70">
        <f t="shared" si="29"/>
        <v>13983.92051</v>
      </c>
      <c r="F43" s="70">
        <f t="shared" si="29"/>
        <v>3722.357244</v>
      </c>
      <c r="G43" s="70">
        <f t="shared" si="29"/>
        <v>768.9488861</v>
      </c>
      <c r="H43" s="70">
        <f t="shared" si="29"/>
        <v>1507.300976</v>
      </c>
      <c r="I43" s="70">
        <f t="shared" si="29"/>
        <v>10563.39942</v>
      </c>
      <c r="J43" s="70">
        <f t="shared" si="29"/>
        <v>8853.138876</v>
      </c>
      <c r="K43" s="70">
        <f t="shared" si="29"/>
        <v>8853.138876</v>
      </c>
      <c r="L43" s="70">
        <f t="shared" si="29"/>
        <v>7142.878332</v>
      </c>
      <c r="M43" s="70">
        <f t="shared" si="29"/>
        <v>8853.138876</v>
      </c>
      <c r="N43" s="70">
        <f t="shared" si="29"/>
        <v>10563.39942</v>
      </c>
      <c r="O43" s="70">
        <f t="shared" si="29"/>
        <v>10563.39942</v>
      </c>
      <c r="P43" s="70">
        <f t="shared" si="29"/>
        <v>13983.92051</v>
      </c>
    </row>
    <row r="44" ht="15.75" customHeight="1">
      <c r="A44" s="21"/>
      <c r="B44" s="22" t="s">
        <v>145</v>
      </c>
      <c r="C44" s="23"/>
      <c r="D44" s="27">
        <v>16780.0</v>
      </c>
      <c r="E44" s="27">
        <v>1398.33333333333</v>
      </c>
      <c r="F44" s="27">
        <v>1398.3333333333333</v>
      </c>
      <c r="G44" s="27">
        <v>1398.3333333333333</v>
      </c>
      <c r="H44" s="27">
        <v>1398.3333333333333</v>
      </c>
      <c r="I44" s="27">
        <v>1398.3333333333333</v>
      </c>
      <c r="J44" s="27">
        <v>1398.3333333333333</v>
      </c>
      <c r="K44" s="27">
        <v>1398.3333333333333</v>
      </c>
      <c r="L44" s="27">
        <v>1398.3333333333333</v>
      </c>
      <c r="M44" s="27">
        <v>1398.3333333333333</v>
      </c>
      <c r="N44" s="27">
        <v>1398.3333333333333</v>
      </c>
      <c r="O44" s="27">
        <v>1398.3333333333333</v>
      </c>
      <c r="P44" s="27">
        <v>1398.3333333333333</v>
      </c>
    </row>
    <row r="45" ht="16.5" customHeight="1">
      <c r="A45" s="71"/>
      <c r="B45" s="72" t="s">
        <v>147</v>
      </c>
      <c r="C45" s="73"/>
      <c r="D45" s="74">
        <f t="shared" ref="D45:P45" si="30">D43+D44+D36</f>
        <v>153563.1605</v>
      </c>
      <c r="E45" s="74">
        <f t="shared" si="30"/>
        <v>18500.93877</v>
      </c>
      <c r="F45" s="74">
        <f t="shared" si="30"/>
        <v>8239.375509</v>
      </c>
      <c r="G45" s="74">
        <f t="shared" si="30"/>
        <v>5285.967151</v>
      </c>
      <c r="H45" s="74">
        <f t="shared" si="30"/>
        <v>6024.319241</v>
      </c>
      <c r="I45" s="74">
        <f t="shared" si="30"/>
        <v>15080.41769</v>
      </c>
      <c r="J45" s="74">
        <f t="shared" si="30"/>
        <v>13370.15714</v>
      </c>
      <c r="K45" s="74">
        <f t="shared" si="30"/>
        <v>13370.15714</v>
      </c>
      <c r="L45" s="74">
        <f t="shared" si="30"/>
        <v>11659.8966</v>
      </c>
      <c r="M45" s="74">
        <f t="shared" si="30"/>
        <v>13370.15714</v>
      </c>
      <c r="N45" s="74">
        <f t="shared" si="30"/>
        <v>15080.41769</v>
      </c>
      <c r="O45" s="74">
        <f t="shared" si="30"/>
        <v>15080.41769</v>
      </c>
      <c r="P45" s="74">
        <f t="shared" si="30"/>
        <v>18500.93877</v>
      </c>
    </row>
    <row r="46" ht="16.5" hidden="1" customHeight="1"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</row>
    <row r="47" ht="16.5" hidden="1" customHeight="1"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</row>
    <row r="48" ht="15.0" hidden="1" customHeight="1">
      <c r="D48" s="36" t="s">
        <v>150</v>
      </c>
      <c r="E48" s="36">
        <f t="shared" ref="E48:P48" si="31">SUM(E13:E14)</f>
        <v>126577.92</v>
      </c>
      <c r="F48" s="36">
        <f t="shared" si="31"/>
        <v>50631.168</v>
      </c>
      <c r="G48" s="36">
        <f t="shared" si="31"/>
        <v>30378.7008</v>
      </c>
      <c r="H48" s="36">
        <f t="shared" si="31"/>
        <v>35441.8176</v>
      </c>
      <c r="I48" s="36">
        <f t="shared" si="31"/>
        <v>101262.336</v>
      </c>
      <c r="J48" s="36">
        <f t="shared" si="31"/>
        <v>88604.544</v>
      </c>
      <c r="K48" s="36">
        <f t="shared" si="31"/>
        <v>88604.544</v>
      </c>
      <c r="L48" s="36">
        <f t="shared" si="31"/>
        <v>75946.752</v>
      </c>
      <c r="M48" s="36">
        <f t="shared" si="31"/>
        <v>88604.544</v>
      </c>
      <c r="N48" s="36">
        <f t="shared" si="31"/>
        <v>101262.336</v>
      </c>
      <c r="O48" s="36">
        <f t="shared" si="31"/>
        <v>101262.336</v>
      </c>
      <c r="P48" s="36">
        <f t="shared" si="31"/>
        <v>126577.92</v>
      </c>
    </row>
    <row r="49" ht="15.0" hidden="1" customHeight="1">
      <c r="D49" s="76" t="s">
        <v>151</v>
      </c>
      <c r="E49" s="36">
        <f t="shared" ref="E49:P49" si="32">SUM(E24:E25)</f>
        <v>101262.336</v>
      </c>
      <c r="F49" s="36">
        <f t="shared" si="32"/>
        <v>40504.9344</v>
      </c>
      <c r="G49" s="36">
        <f t="shared" si="32"/>
        <v>24302.96064</v>
      </c>
      <c r="H49" s="36">
        <f t="shared" si="32"/>
        <v>28353.45408</v>
      </c>
      <c r="I49" s="36">
        <f t="shared" si="32"/>
        <v>81009.8688</v>
      </c>
      <c r="J49" s="36">
        <f t="shared" si="32"/>
        <v>70883.6352</v>
      </c>
      <c r="K49" s="36">
        <f t="shared" si="32"/>
        <v>70883.6352</v>
      </c>
      <c r="L49" s="36">
        <f t="shared" si="32"/>
        <v>60757.4016</v>
      </c>
      <c r="M49" s="36">
        <f t="shared" si="32"/>
        <v>70883.6352</v>
      </c>
      <c r="N49" s="36">
        <f t="shared" si="32"/>
        <v>81009.8688</v>
      </c>
      <c r="O49" s="36">
        <f t="shared" si="32"/>
        <v>81009.8688</v>
      </c>
      <c r="P49" s="36">
        <f t="shared" si="32"/>
        <v>101262.336</v>
      </c>
    </row>
    <row r="50" ht="15.0" hidden="1" customHeight="1">
      <c r="D50" s="76" t="s">
        <v>153</v>
      </c>
      <c r="E50" s="36">
        <f t="shared" ref="E50:P50" si="33">E48-E49</f>
        <v>25315.584</v>
      </c>
      <c r="F50" s="36">
        <f t="shared" si="33"/>
        <v>10126.2336</v>
      </c>
      <c r="G50" s="36">
        <f t="shared" si="33"/>
        <v>6075.74016</v>
      </c>
      <c r="H50" s="36">
        <f t="shared" si="33"/>
        <v>7088.36352</v>
      </c>
      <c r="I50" s="36">
        <f t="shared" si="33"/>
        <v>20252.4672</v>
      </c>
      <c r="J50" s="36">
        <f t="shared" si="33"/>
        <v>17720.9088</v>
      </c>
      <c r="K50" s="36">
        <f t="shared" si="33"/>
        <v>17720.9088</v>
      </c>
      <c r="L50" s="36">
        <f t="shared" si="33"/>
        <v>15189.3504</v>
      </c>
      <c r="M50" s="36">
        <f t="shared" si="33"/>
        <v>17720.9088</v>
      </c>
      <c r="N50" s="36">
        <f t="shared" si="33"/>
        <v>20252.4672</v>
      </c>
      <c r="O50" s="36">
        <f t="shared" si="33"/>
        <v>20252.4672</v>
      </c>
      <c r="P50" s="36">
        <f t="shared" si="33"/>
        <v>25315.584</v>
      </c>
    </row>
    <row r="51" ht="15.0" hidden="1" customHeight="1">
      <c r="D51" s="76" t="s">
        <v>154</v>
      </c>
      <c r="E51" s="36">
        <v>-1244.395710030938</v>
      </c>
      <c r="F51" s="36">
        <v>-1935.4658844828555</v>
      </c>
      <c r="G51" s="36">
        <v>-3959.5547035912386</v>
      </c>
      <c r="H51" s="36">
        <v>-1278.6269167679966</v>
      </c>
      <c r="I51" s="36">
        <v>-3523.246291822332</v>
      </c>
      <c r="J51" s="36">
        <v>-1068.6955030649915</v>
      </c>
      <c r="K51" s="36">
        <v>-1479.602788475513</v>
      </c>
      <c r="L51" s="36">
        <v>-1943.95405001803</v>
      </c>
      <c r="M51" s="36">
        <v>-1459.0087573015735</v>
      </c>
      <c r="N51" s="36">
        <v>-1868.1807337870378</v>
      </c>
      <c r="O51" s="36">
        <v>-2538.1901102192824</v>
      </c>
      <c r="P51" s="36">
        <v>-1885.476748571531</v>
      </c>
    </row>
    <row r="52" ht="15.0" hidden="1" customHeight="1">
      <c r="D52" s="76" t="s">
        <v>156</v>
      </c>
      <c r="E52" s="77">
        <f t="shared" ref="E52:P52" si="34">E38/E11</f>
        <v>0.02</v>
      </c>
      <c r="F52" s="77">
        <f t="shared" si="34"/>
        <v>0.02</v>
      </c>
      <c r="G52" s="77">
        <f t="shared" si="34"/>
        <v>0.02</v>
      </c>
      <c r="H52" s="77">
        <f t="shared" si="34"/>
        <v>0.02</v>
      </c>
      <c r="I52" s="77">
        <f t="shared" si="34"/>
        <v>0.02</v>
      </c>
      <c r="J52" s="77">
        <f t="shared" si="34"/>
        <v>0.02</v>
      </c>
      <c r="K52" s="77">
        <f t="shared" si="34"/>
        <v>0.02</v>
      </c>
      <c r="L52" s="77">
        <f t="shared" si="34"/>
        <v>0.02</v>
      </c>
      <c r="M52" s="77">
        <f t="shared" si="34"/>
        <v>0.02</v>
      </c>
      <c r="N52" s="77">
        <f t="shared" si="34"/>
        <v>0.02</v>
      </c>
      <c r="O52" s="77">
        <f t="shared" si="34"/>
        <v>0.02</v>
      </c>
      <c r="P52" s="77">
        <f t="shared" si="34"/>
        <v>0.02</v>
      </c>
    </row>
    <row r="53" ht="15.0" hidden="1" customHeight="1">
      <c r="D53" s="76" t="s">
        <v>157</v>
      </c>
      <c r="E53" s="77">
        <f t="shared" ref="E53:P53" si="35">E37/E11</f>
        <v>0.05</v>
      </c>
      <c r="F53" s="77">
        <f t="shared" si="35"/>
        <v>0.05</v>
      </c>
      <c r="G53" s="77">
        <f t="shared" si="35"/>
        <v>0.05</v>
      </c>
      <c r="H53" s="77">
        <f t="shared" si="35"/>
        <v>0.05</v>
      </c>
      <c r="I53" s="77">
        <f t="shared" si="35"/>
        <v>0.05</v>
      </c>
      <c r="J53" s="77">
        <f t="shared" si="35"/>
        <v>0.05</v>
      </c>
      <c r="K53" s="77">
        <f t="shared" si="35"/>
        <v>0.05</v>
      </c>
      <c r="L53" s="77">
        <f t="shared" si="35"/>
        <v>0.05</v>
      </c>
      <c r="M53" s="77">
        <f t="shared" si="35"/>
        <v>0.05</v>
      </c>
      <c r="N53" s="77">
        <f t="shared" si="35"/>
        <v>0.05</v>
      </c>
      <c r="O53" s="77">
        <f t="shared" si="35"/>
        <v>0.05</v>
      </c>
      <c r="P53" s="77">
        <f t="shared" si="35"/>
        <v>0.05</v>
      </c>
    </row>
    <row r="54" ht="15.0" hidden="1" customHeight="1"/>
    <row r="55" ht="15.0" hidden="1" customHeight="1"/>
    <row r="56" ht="15.0" hidden="1" customHeight="1">
      <c r="D56" s="36">
        <f>D22-D44</f>
        <v>1219261.041</v>
      </c>
    </row>
    <row r="57" ht="15.0" hidden="1" customHeight="1">
      <c r="D57" s="76">
        <f>D56/D22</f>
        <v>0.986424399</v>
      </c>
    </row>
    <row r="58" ht="15.0" hidden="1" customHeight="1">
      <c r="D58" s="80">
        <f>(D37+D38)/D22*100</f>
        <v>8.359823861</v>
      </c>
    </row>
    <row r="59" ht="15.0" hidden="1" customHeight="1"/>
    <row r="60" ht="15.0" hidden="1" customHeight="1"/>
    <row r="61" ht="15.0" hidden="1" customHeight="1"/>
    <row r="62" ht="15.0" hidden="1" customHeight="1"/>
    <row r="63" ht="15.0" customHeight="1">
      <c r="D63" s="6"/>
      <c r="E63" s="6">
        <f t="shared" ref="E63:Q63" si="36">E45/E11</f>
        <v>0.101825938</v>
      </c>
      <c r="F63" s="6">
        <f t="shared" si="36"/>
        <v>0.1133702119</v>
      </c>
      <c r="G63" s="6">
        <f t="shared" si="36"/>
        <v>0.09706928844</v>
      </c>
      <c r="H63" s="6">
        <f t="shared" si="36"/>
        <v>0.1020882678</v>
      </c>
      <c r="I63" s="6">
        <f t="shared" si="36"/>
        <v>0.1037499836</v>
      </c>
      <c r="J63" s="6">
        <f t="shared" si="36"/>
        <v>0.105124302</v>
      </c>
      <c r="K63" s="6">
        <f t="shared" si="36"/>
        <v>0.105124302</v>
      </c>
      <c r="L63" s="6">
        <f t="shared" si="36"/>
        <v>0.1069567264</v>
      </c>
      <c r="M63" s="6">
        <f t="shared" si="36"/>
        <v>0.105124302</v>
      </c>
      <c r="N63" s="6">
        <f t="shared" si="36"/>
        <v>0.1037499836</v>
      </c>
      <c r="O63" s="6">
        <f t="shared" si="36"/>
        <v>0.1037499836</v>
      </c>
      <c r="P63" s="6">
        <f t="shared" si="36"/>
        <v>0.101825938</v>
      </c>
      <c r="Q63" s="6" t="str">
        <f t="shared" si="36"/>
        <v>#DIV/0!</v>
      </c>
    </row>
    <row r="64" ht="14.25" customHeight="1">
      <c r="D64" s="6">
        <f t="shared" ref="D64:P64" si="37">D43/D11</f>
        <v>0.06730928501</v>
      </c>
      <c r="E64" s="6">
        <f t="shared" si="37"/>
        <v>0.07696505782</v>
      </c>
      <c r="F64" s="6">
        <f t="shared" si="37"/>
        <v>0.0512180115</v>
      </c>
      <c r="G64" s="6">
        <f t="shared" si="37"/>
        <v>0.01412065552</v>
      </c>
      <c r="H64" s="6">
        <f t="shared" si="37"/>
        <v>0.02554276086</v>
      </c>
      <c r="I64" s="6">
        <f t="shared" si="37"/>
        <v>0.07267388343</v>
      </c>
      <c r="J64" s="6">
        <f t="shared" si="37"/>
        <v>0.06960875887</v>
      </c>
      <c r="K64" s="6">
        <f t="shared" si="37"/>
        <v>0.06960875887</v>
      </c>
      <c r="L64" s="6">
        <f t="shared" si="37"/>
        <v>0.06552192612</v>
      </c>
      <c r="M64" s="6">
        <f t="shared" si="37"/>
        <v>0.06960875887</v>
      </c>
      <c r="N64" s="6">
        <f t="shared" si="37"/>
        <v>0.07267388343</v>
      </c>
      <c r="O64" s="6">
        <f t="shared" si="37"/>
        <v>0.07267388343</v>
      </c>
      <c r="P64" s="6">
        <f t="shared" si="37"/>
        <v>0.07696505782</v>
      </c>
    </row>
    <row r="65" ht="22.5" customHeight="1">
      <c r="D65" s="36"/>
      <c r="K65" s="81" t="s">
        <v>161</v>
      </c>
    </row>
    <row r="66" ht="14.25" customHeight="1">
      <c r="D66" s="76">
        <f>510/951</f>
        <v>0.5362776025</v>
      </c>
      <c r="O66" s="36"/>
    </row>
    <row r="67" ht="14.25" customHeight="1">
      <c r="D67" s="36"/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P1"/>
    <mergeCell ref="A2:P2"/>
    <mergeCell ref="Q3:Q4"/>
    <mergeCell ref="K65:N6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8.0"/>
    <col customWidth="1" min="2" max="2" width="36.71"/>
    <col customWidth="1" min="3" max="4" width="20.0"/>
    <col customWidth="1" min="5" max="5" width="18.29"/>
    <col customWidth="1" min="6" max="14" width="17.14"/>
    <col customWidth="1" min="15" max="16" width="18.29"/>
    <col customWidth="1" hidden="1" min="17" max="17" width="10.0"/>
    <col customWidth="1" min="18" max="18" width="12.43"/>
    <col customWidth="1" min="19" max="26" width="8.0"/>
  </cols>
  <sheetData>
    <row r="1" ht="22.5" customHeight="1">
      <c r="A1" s="2" t="s">
        <v>0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ht="22.5" customHeight="1">
      <c r="A2" s="2" t="s">
        <v>4</v>
      </c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5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13" t="s">
        <v>18</v>
      </c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4"/>
      <c r="B4" s="5"/>
      <c r="C4" s="8"/>
      <c r="D4" s="8"/>
      <c r="E4" s="8">
        <v>0.1</v>
      </c>
      <c r="F4" s="8">
        <v>0.05</v>
      </c>
      <c r="G4" s="8">
        <v>0.05</v>
      </c>
      <c r="H4" s="8">
        <v>0.1</v>
      </c>
      <c r="I4" s="8">
        <v>0.05</v>
      </c>
      <c r="J4" s="8">
        <v>0.05</v>
      </c>
      <c r="K4" s="8">
        <v>0.05</v>
      </c>
      <c r="L4" s="8">
        <v>0.05</v>
      </c>
      <c r="M4" s="8">
        <v>0.1</v>
      </c>
      <c r="N4" s="8">
        <v>0.1</v>
      </c>
      <c r="O4" s="8">
        <v>0.15</v>
      </c>
      <c r="P4" s="8">
        <v>0.15</v>
      </c>
      <c r="Q4" s="15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4" t="s">
        <v>19</v>
      </c>
      <c r="B5" s="14" t="s">
        <v>20</v>
      </c>
      <c r="C5" s="20" t="s">
        <v>2</v>
      </c>
      <c r="D5" s="19" t="s">
        <v>3</v>
      </c>
      <c r="E5" s="19" t="s">
        <v>5</v>
      </c>
      <c r="F5" s="19" t="s">
        <v>6</v>
      </c>
      <c r="G5" s="19" t="s">
        <v>7</v>
      </c>
      <c r="H5" s="19" t="s">
        <v>8</v>
      </c>
      <c r="I5" s="19" t="s">
        <v>9</v>
      </c>
      <c r="J5" s="19" t="s">
        <v>10</v>
      </c>
      <c r="K5" s="19" t="s">
        <v>11</v>
      </c>
      <c r="L5" s="19" t="s">
        <v>12</v>
      </c>
      <c r="M5" s="19" t="s">
        <v>13</v>
      </c>
      <c r="N5" s="19" t="s">
        <v>14</v>
      </c>
      <c r="O5" s="19" t="s">
        <v>15</v>
      </c>
      <c r="P5" s="19" t="s">
        <v>16</v>
      </c>
      <c r="Q5" s="15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21" t="s">
        <v>25</v>
      </c>
      <c r="B6" s="22" t="s">
        <v>29</v>
      </c>
      <c r="C6" s="26">
        <v>10.0</v>
      </c>
      <c r="D6" s="27">
        <f t="shared" ref="D6:P6" si="1">D7+D17+D28+D33</f>
        <v>1056360135463</v>
      </c>
      <c r="E6" s="27">
        <f t="shared" si="1"/>
        <v>105636013546</v>
      </c>
      <c r="F6" s="27">
        <f t="shared" si="1"/>
        <v>52818006773</v>
      </c>
      <c r="G6" s="27">
        <f t="shared" si="1"/>
        <v>52818006773</v>
      </c>
      <c r="H6" s="27">
        <f t="shared" si="1"/>
        <v>105636013546</v>
      </c>
      <c r="I6" s="27">
        <f t="shared" si="1"/>
        <v>52818006773</v>
      </c>
      <c r="J6" s="27">
        <f t="shared" si="1"/>
        <v>52818006773</v>
      </c>
      <c r="K6" s="27">
        <f t="shared" si="1"/>
        <v>52818006773</v>
      </c>
      <c r="L6" s="27">
        <f t="shared" si="1"/>
        <v>52818006773</v>
      </c>
      <c r="M6" s="27">
        <f t="shared" si="1"/>
        <v>105636013546</v>
      </c>
      <c r="N6" s="27">
        <f t="shared" si="1"/>
        <v>105636013546</v>
      </c>
      <c r="O6" s="27">
        <f t="shared" si="1"/>
        <v>158454020319</v>
      </c>
      <c r="P6" s="27">
        <f t="shared" si="1"/>
        <v>158454020319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31" t="s">
        <v>34</v>
      </c>
      <c r="B7" s="32" t="s">
        <v>36</v>
      </c>
      <c r="C7" s="34"/>
      <c r="D7" s="37">
        <v>5.90857427166E11</v>
      </c>
      <c r="E7" s="37">
        <f t="shared" ref="E7:P7" si="2">$D7*E$4</f>
        <v>59085742717</v>
      </c>
      <c r="F7" s="37">
        <f t="shared" si="2"/>
        <v>29542871358</v>
      </c>
      <c r="G7" s="37">
        <f t="shared" si="2"/>
        <v>29542871358</v>
      </c>
      <c r="H7" s="37">
        <f t="shared" si="2"/>
        <v>59085742717</v>
      </c>
      <c r="I7" s="37">
        <f t="shared" si="2"/>
        <v>29542871358</v>
      </c>
      <c r="J7" s="37">
        <f t="shared" si="2"/>
        <v>29542871358</v>
      </c>
      <c r="K7" s="37">
        <f t="shared" si="2"/>
        <v>29542871358</v>
      </c>
      <c r="L7" s="37">
        <f t="shared" si="2"/>
        <v>29542871358</v>
      </c>
      <c r="M7" s="37">
        <f t="shared" si="2"/>
        <v>59085742717</v>
      </c>
      <c r="N7" s="37">
        <f t="shared" si="2"/>
        <v>59085742717</v>
      </c>
      <c r="O7" s="37">
        <f t="shared" si="2"/>
        <v>88628614075</v>
      </c>
      <c r="P7" s="37">
        <f t="shared" si="2"/>
        <v>88628614075</v>
      </c>
      <c r="Q7" s="40"/>
      <c r="R7" s="40"/>
      <c r="S7" s="40"/>
      <c r="T7" s="40"/>
      <c r="U7" s="40"/>
      <c r="V7" s="40"/>
      <c r="W7" s="40"/>
      <c r="X7" s="40"/>
      <c r="Y7" s="40"/>
      <c r="Z7" s="40"/>
    </row>
    <row r="8" ht="15.75" customHeight="1">
      <c r="A8" s="29">
        <v>1.0</v>
      </c>
      <c r="B8" s="30" t="s">
        <v>42</v>
      </c>
      <c r="C8" s="41"/>
      <c r="D8" s="12">
        <v>3.00303525992E11</v>
      </c>
      <c r="E8" s="12">
        <f t="shared" ref="E8:P8" si="3">$D8*E$4</f>
        <v>30030352599</v>
      </c>
      <c r="F8" s="12">
        <f t="shared" si="3"/>
        <v>15015176300</v>
      </c>
      <c r="G8" s="12">
        <f t="shared" si="3"/>
        <v>15015176300</v>
      </c>
      <c r="H8" s="12">
        <f t="shared" si="3"/>
        <v>30030352599</v>
      </c>
      <c r="I8" s="12">
        <f t="shared" si="3"/>
        <v>15015176300</v>
      </c>
      <c r="J8" s="12">
        <f t="shared" si="3"/>
        <v>15015176300</v>
      </c>
      <c r="K8" s="12">
        <f t="shared" si="3"/>
        <v>15015176300</v>
      </c>
      <c r="L8" s="12">
        <f t="shared" si="3"/>
        <v>15015176300</v>
      </c>
      <c r="M8" s="12">
        <f t="shared" si="3"/>
        <v>30030352599</v>
      </c>
      <c r="N8" s="12">
        <f t="shared" si="3"/>
        <v>30030352599</v>
      </c>
      <c r="O8" s="12">
        <f t="shared" si="3"/>
        <v>45045528899</v>
      </c>
      <c r="P8" s="12">
        <f t="shared" si="3"/>
        <v>45045528899</v>
      </c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29">
        <v>2.0</v>
      </c>
      <c r="B9" s="30" t="s">
        <v>44</v>
      </c>
      <c r="C9" s="41"/>
      <c r="D9" s="12">
        <v>1.42444141017E11</v>
      </c>
      <c r="E9" s="12">
        <f t="shared" ref="E9:P9" si="4">$D9*E$4</f>
        <v>14244414102</v>
      </c>
      <c r="F9" s="12">
        <f t="shared" si="4"/>
        <v>7122207051</v>
      </c>
      <c r="G9" s="12">
        <f t="shared" si="4"/>
        <v>7122207051</v>
      </c>
      <c r="H9" s="12">
        <f t="shared" si="4"/>
        <v>14244414102</v>
      </c>
      <c r="I9" s="12">
        <f t="shared" si="4"/>
        <v>7122207051</v>
      </c>
      <c r="J9" s="12">
        <f t="shared" si="4"/>
        <v>7122207051</v>
      </c>
      <c r="K9" s="12">
        <f t="shared" si="4"/>
        <v>7122207051</v>
      </c>
      <c r="L9" s="12">
        <f t="shared" si="4"/>
        <v>7122207051</v>
      </c>
      <c r="M9" s="12">
        <f t="shared" si="4"/>
        <v>14244414102</v>
      </c>
      <c r="N9" s="12">
        <f t="shared" si="4"/>
        <v>14244414102</v>
      </c>
      <c r="O9" s="12">
        <f t="shared" si="4"/>
        <v>21366621153</v>
      </c>
      <c r="P9" s="12">
        <f t="shared" si="4"/>
        <v>21366621153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29">
        <v>3.0</v>
      </c>
      <c r="B10" s="30" t="s">
        <v>47</v>
      </c>
      <c r="C10" s="41"/>
      <c r="D10" s="12">
        <v>1.0174538685E10</v>
      </c>
      <c r="E10" s="12">
        <f t="shared" ref="E10:P10" si="5">$D10*E$4</f>
        <v>1017453869</v>
      </c>
      <c r="F10" s="12">
        <f t="shared" si="5"/>
        <v>508726934.3</v>
      </c>
      <c r="G10" s="12">
        <f t="shared" si="5"/>
        <v>508726934.3</v>
      </c>
      <c r="H10" s="12">
        <f t="shared" si="5"/>
        <v>1017453869</v>
      </c>
      <c r="I10" s="12">
        <f t="shared" si="5"/>
        <v>508726934.3</v>
      </c>
      <c r="J10" s="12">
        <f t="shared" si="5"/>
        <v>508726934.3</v>
      </c>
      <c r="K10" s="12">
        <f t="shared" si="5"/>
        <v>508726934.3</v>
      </c>
      <c r="L10" s="12">
        <f t="shared" si="5"/>
        <v>508726934.3</v>
      </c>
      <c r="M10" s="12">
        <f t="shared" si="5"/>
        <v>1017453869</v>
      </c>
      <c r="N10" s="12">
        <f t="shared" si="5"/>
        <v>1017453869</v>
      </c>
      <c r="O10" s="12">
        <f t="shared" si="5"/>
        <v>1526180803</v>
      </c>
      <c r="P10" s="12">
        <f t="shared" si="5"/>
        <v>1526180803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29">
        <v>4.0</v>
      </c>
      <c r="B11" s="30" t="s">
        <v>51</v>
      </c>
      <c r="C11" s="41"/>
      <c r="D11" s="12">
        <v>2.16246622E8</v>
      </c>
      <c r="E11" s="12">
        <f t="shared" ref="E11:P11" si="6">$D11*E$4</f>
        <v>21624662.2</v>
      </c>
      <c r="F11" s="12">
        <f t="shared" si="6"/>
        <v>10812331.1</v>
      </c>
      <c r="G11" s="12">
        <f t="shared" si="6"/>
        <v>10812331.1</v>
      </c>
      <c r="H11" s="12">
        <f t="shared" si="6"/>
        <v>21624662.2</v>
      </c>
      <c r="I11" s="12">
        <f t="shared" si="6"/>
        <v>10812331.1</v>
      </c>
      <c r="J11" s="12">
        <f t="shared" si="6"/>
        <v>10812331.1</v>
      </c>
      <c r="K11" s="12">
        <f t="shared" si="6"/>
        <v>10812331.1</v>
      </c>
      <c r="L11" s="12">
        <f t="shared" si="6"/>
        <v>10812331.1</v>
      </c>
      <c r="M11" s="12">
        <f t="shared" si="6"/>
        <v>21624662.2</v>
      </c>
      <c r="N11" s="12">
        <f t="shared" si="6"/>
        <v>21624662.2</v>
      </c>
      <c r="O11" s="12">
        <f t="shared" si="6"/>
        <v>32436993.3</v>
      </c>
      <c r="P11" s="12">
        <f t="shared" si="6"/>
        <v>32436993.3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29">
        <v>5.0</v>
      </c>
      <c r="B12" s="30" t="s">
        <v>53</v>
      </c>
      <c r="C12" s="41"/>
      <c r="D12" s="12">
        <v>1.598904125E10</v>
      </c>
      <c r="E12" s="12">
        <f t="shared" ref="E12:P12" si="7">$D12*E$4</f>
        <v>1598904125</v>
      </c>
      <c r="F12" s="12">
        <f t="shared" si="7"/>
        <v>799452062.5</v>
      </c>
      <c r="G12" s="12">
        <f t="shared" si="7"/>
        <v>799452062.5</v>
      </c>
      <c r="H12" s="12">
        <f t="shared" si="7"/>
        <v>1598904125</v>
      </c>
      <c r="I12" s="12">
        <f t="shared" si="7"/>
        <v>799452062.5</v>
      </c>
      <c r="J12" s="12">
        <f t="shared" si="7"/>
        <v>799452062.5</v>
      </c>
      <c r="K12" s="12">
        <f t="shared" si="7"/>
        <v>799452062.5</v>
      </c>
      <c r="L12" s="12">
        <f t="shared" si="7"/>
        <v>799452062.5</v>
      </c>
      <c r="M12" s="12">
        <f t="shared" si="7"/>
        <v>1598904125</v>
      </c>
      <c r="N12" s="12">
        <f t="shared" si="7"/>
        <v>1598904125</v>
      </c>
      <c r="O12" s="12">
        <f t="shared" si="7"/>
        <v>2398356188</v>
      </c>
      <c r="P12" s="12">
        <f t="shared" si="7"/>
        <v>2398356188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29">
        <v>6.0</v>
      </c>
      <c r="B13" s="30" t="s">
        <v>56</v>
      </c>
      <c r="C13" s="41"/>
      <c r="D13" s="12">
        <v>1.12522314607E11</v>
      </c>
      <c r="E13" s="12">
        <f t="shared" ref="E13:P13" si="8">$D13*E$4</f>
        <v>11252231461</v>
      </c>
      <c r="F13" s="12">
        <f t="shared" si="8"/>
        <v>5626115730</v>
      </c>
      <c r="G13" s="12">
        <f t="shared" si="8"/>
        <v>5626115730</v>
      </c>
      <c r="H13" s="12">
        <f t="shared" si="8"/>
        <v>11252231461</v>
      </c>
      <c r="I13" s="12">
        <f t="shared" si="8"/>
        <v>5626115730</v>
      </c>
      <c r="J13" s="12">
        <f t="shared" si="8"/>
        <v>5626115730</v>
      </c>
      <c r="K13" s="12">
        <f t="shared" si="8"/>
        <v>5626115730</v>
      </c>
      <c r="L13" s="12">
        <f t="shared" si="8"/>
        <v>5626115730</v>
      </c>
      <c r="M13" s="12">
        <f t="shared" si="8"/>
        <v>11252231461</v>
      </c>
      <c r="N13" s="12">
        <f t="shared" si="8"/>
        <v>11252231461</v>
      </c>
      <c r="O13" s="12">
        <f t="shared" si="8"/>
        <v>16878347191</v>
      </c>
      <c r="P13" s="12">
        <f t="shared" si="8"/>
        <v>16878347191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29">
        <v>7.0</v>
      </c>
      <c r="B14" s="30" t="s">
        <v>57</v>
      </c>
      <c r="C14" s="41"/>
      <c r="D14" s="12">
        <v>4.66053731E9</v>
      </c>
      <c r="E14" s="12">
        <f t="shared" ref="E14:P14" si="9">$D14*E$4</f>
        <v>466053731</v>
      </c>
      <c r="F14" s="12">
        <f t="shared" si="9"/>
        <v>233026865.5</v>
      </c>
      <c r="G14" s="12">
        <f t="shared" si="9"/>
        <v>233026865.5</v>
      </c>
      <c r="H14" s="12">
        <f t="shared" si="9"/>
        <v>466053731</v>
      </c>
      <c r="I14" s="12">
        <f t="shared" si="9"/>
        <v>233026865.5</v>
      </c>
      <c r="J14" s="12">
        <f t="shared" si="9"/>
        <v>233026865.5</v>
      </c>
      <c r="K14" s="12">
        <f t="shared" si="9"/>
        <v>233026865.5</v>
      </c>
      <c r="L14" s="12">
        <f t="shared" si="9"/>
        <v>233026865.5</v>
      </c>
      <c r="M14" s="12">
        <f t="shared" si="9"/>
        <v>466053731</v>
      </c>
      <c r="N14" s="12">
        <f t="shared" si="9"/>
        <v>466053731</v>
      </c>
      <c r="O14" s="12">
        <f t="shared" si="9"/>
        <v>699080596.5</v>
      </c>
      <c r="P14" s="12">
        <f t="shared" si="9"/>
        <v>699080596.5</v>
      </c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29">
        <v>8.0</v>
      </c>
      <c r="B15" s="30" t="s">
        <v>61</v>
      </c>
      <c r="C15" s="41"/>
      <c r="D15" s="12">
        <v>9.01271933E8</v>
      </c>
      <c r="E15" s="12">
        <f t="shared" ref="E15:P15" si="10">$D15*E$4</f>
        <v>90127193.3</v>
      </c>
      <c r="F15" s="12">
        <f t="shared" si="10"/>
        <v>45063596.65</v>
      </c>
      <c r="G15" s="12">
        <f t="shared" si="10"/>
        <v>45063596.65</v>
      </c>
      <c r="H15" s="12">
        <f t="shared" si="10"/>
        <v>90127193.3</v>
      </c>
      <c r="I15" s="12">
        <f t="shared" si="10"/>
        <v>45063596.65</v>
      </c>
      <c r="J15" s="12">
        <f t="shared" si="10"/>
        <v>45063596.65</v>
      </c>
      <c r="K15" s="12">
        <f t="shared" si="10"/>
        <v>45063596.65</v>
      </c>
      <c r="L15" s="12">
        <f t="shared" si="10"/>
        <v>45063596.65</v>
      </c>
      <c r="M15" s="12">
        <f t="shared" si="10"/>
        <v>90127193.3</v>
      </c>
      <c r="N15" s="12">
        <f t="shared" si="10"/>
        <v>90127193.3</v>
      </c>
      <c r="O15" s="12">
        <f t="shared" si="10"/>
        <v>135190790</v>
      </c>
      <c r="P15" s="12">
        <f t="shared" si="10"/>
        <v>135190790</v>
      </c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29">
        <v>9.0</v>
      </c>
      <c r="B16" s="30" t="s">
        <v>63</v>
      </c>
      <c r="C16" s="41"/>
      <c r="D16" s="12">
        <v>3.64580975E9</v>
      </c>
      <c r="E16" s="12">
        <f t="shared" ref="E16:P16" si="11">$D16*E$4</f>
        <v>364580975</v>
      </c>
      <c r="F16" s="12">
        <f t="shared" si="11"/>
        <v>182290487.5</v>
      </c>
      <c r="G16" s="12">
        <f t="shared" si="11"/>
        <v>182290487.5</v>
      </c>
      <c r="H16" s="12">
        <f t="shared" si="11"/>
        <v>364580975</v>
      </c>
      <c r="I16" s="12">
        <f t="shared" si="11"/>
        <v>182290487.5</v>
      </c>
      <c r="J16" s="12">
        <f t="shared" si="11"/>
        <v>182290487.5</v>
      </c>
      <c r="K16" s="12">
        <f t="shared" si="11"/>
        <v>182290487.5</v>
      </c>
      <c r="L16" s="12">
        <f t="shared" si="11"/>
        <v>182290487.5</v>
      </c>
      <c r="M16" s="12">
        <f t="shared" si="11"/>
        <v>364580975</v>
      </c>
      <c r="N16" s="12">
        <f t="shared" si="11"/>
        <v>364580975</v>
      </c>
      <c r="O16" s="12">
        <f t="shared" si="11"/>
        <v>546871462.5</v>
      </c>
      <c r="P16" s="12">
        <f t="shared" si="11"/>
        <v>546871462.5</v>
      </c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ht="15.75" customHeight="1">
      <c r="A17" s="31" t="s">
        <v>65</v>
      </c>
      <c r="B17" s="32" t="s">
        <v>66</v>
      </c>
      <c r="C17" s="34"/>
      <c r="D17" s="37">
        <v>4.63797273377E11</v>
      </c>
      <c r="E17" s="37">
        <f t="shared" ref="E17:P17" si="12">$D17*E$4</f>
        <v>46379727338</v>
      </c>
      <c r="F17" s="37">
        <f t="shared" si="12"/>
        <v>23189863669</v>
      </c>
      <c r="G17" s="37">
        <f t="shared" si="12"/>
        <v>23189863669</v>
      </c>
      <c r="H17" s="37">
        <f t="shared" si="12"/>
        <v>46379727338</v>
      </c>
      <c r="I17" s="37">
        <f t="shared" si="12"/>
        <v>23189863669</v>
      </c>
      <c r="J17" s="37">
        <f t="shared" si="12"/>
        <v>23189863669</v>
      </c>
      <c r="K17" s="37">
        <f t="shared" si="12"/>
        <v>23189863669</v>
      </c>
      <c r="L17" s="37">
        <f t="shared" si="12"/>
        <v>23189863669</v>
      </c>
      <c r="M17" s="37">
        <f t="shared" si="12"/>
        <v>46379727338</v>
      </c>
      <c r="N17" s="37">
        <f t="shared" si="12"/>
        <v>46379727338</v>
      </c>
      <c r="O17" s="37">
        <f t="shared" si="12"/>
        <v>69569591007</v>
      </c>
      <c r="P17" s="37">
        <f t="shared" si="12"/>
        <v>69569591007</v>
      </c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ht="15.75" customHeight="1">
      <c r="A18" s="29">
        <v>1.0</v>
      </c>
      <c r="B18" s="30" t="s">
        <v>42</v>
      </c>
      <c r="C18" s="41"/>
      <c r="D18" s="12">
        <v>3.06319835681E11</v>
      </c>
      <c r="E18" s="12">
        <f t="shared" ref="E18:P18" si="13">$D18*E$4</f>
        <v>30631983568</v>
      </c>
      <c r="F18" s="12">
        <f t="shared" si="13"/>
        <v>15315991784</v>
      </c>
      <c r="G18" s="12">
        <f t="shared" si="13"/>
        <v>15315991784</v>
      </c>
      <c r="H18" s="12">
        <f t="shared" si="13"/>
        <v>30631983568</v>
      </c>
      <c r="I18" s="12">
        <f t="shared" si="13"/>
        <v>15315991784</v>
      </c>
      <c r="J18" s="12">
        <f t="shared" si="13"/>
        <v>15315991784</v>
      </c>
      <c r="K18" s="12">
        <f t="shared" si="13"/>
        <v>15315991784</v>
      </c>
      <c r="L18" s="12">
        <f t="shared" si="13"/>
        <v>15315991784</v>
      </c>
      <c r="M18" s="12">
        <f t="shared" si="13"/>
        <v>30631983568</v>
      </c>
      <c r="N18" s="12">
        <f t="shared" si="13"/>
        <v>30631983568</v>
      </c>
      <c r="O18" s="12">
        <f t="shared" si="13"/>
        <v>45947975352</v>
      </c>
      <c r="P18" s="12">
        <f t="shared" si="13"/>
        <v>45947975352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29">
        <v>2.0</v>
      </c>
      <c r="B19" s="30" t="s">
        <v>44</v>
      </c>
      <c r="C19" s="41"/>
      <c r="D19" s="12">
        <v>1.0999245751E11</v>
      </c>
      <c r="E19" s="12">
        <f t="shared" ref="E19:P19" si="14">$D19*E$4</f>
        <v>10999245751</v>
      </c>
      <c r="F19" s="12">
        <f t="shared" si="14"/>
        <v>5499622876</v>
      </c>
      <c r="G19" s="12">
        <f t="shared" si="14"/>
        <v>5499622876</v>
      </c>
      <c r="H19" s="12">
        <f t="shared" si="14"/>
        <v>10999245751</v>
      </c>
      <c r="I19" s="12">
        <f t="shared" si="14"/>
        <v>5499622876</v>
      </c>
      <c r="J19" s="12">
        <f t="shared" si="14"/>
        <v>5499622876</v>
      </c>
      <c r="K19" s="12">
        <f t="shared" si="14"/>
        <v>5499622876</v>
      </c>
      <c r="L19" s="12">
        <f t="shared" si="14"/>
        <v>5499622876</v>
      </c>
      <c r="M19" s="12">
        <f t="shared" si="14"/>
        <v>10999245751</v>
      </c>
      <c r="N19" s="12">
        <f t="shared" si="14"/>
        <v>10999245751</v>
      </c>
      <c r="O19" s="12">
        <f t="shared" si="14"/>
        <v>16498868627</v>
      </c>
      <c r="P19" s="12">
        <f t="shared" si="14"/>
        <v>16498868627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29"/>
      <c r="B20" s="30" t="s">
        <v>47</v>
      </c>
      <c r="C20" s="41"/>
      <c r="D20" s="12">
        <v>1.1158642658E10</v>
      </c>
      <c r="E20" s="12">
        <f t="shared" ref="E20:P20" si="15">$D20*E$4</f>
        <v>1115864266</v>
      </c>
      <c r="F20" s="12">
        <f t="shared" si="15"/>
        <v>557932132.9</v>
      </c>
      <c r="G20" s="12">
        <f t="shared" si="15"/>
        <v>557932132.9</v>
      </c>
      <c r="H20" s="12">
        <f t="shared" si="15"/>
        <v>1115864266</v>
      </c>
      <c r="I20" s="12">
        <f t="shared" si="15"/>
        <v>557932132.9</v>
      </c>
      <c r="J20" s="12">
        <f t="shared" si="15"/>
        <v>557932132.9</v>
      </c>
      <c r="K20" s="12">
        <f t="shared" si="15"/>
        <v>557932132.9</v>
      </c>
      <c r="L20" s="12">
        <f t="shared" si="15"/>
        <v>557932132.9</v>
      </c>
      <c r="M20" s="12">
        <f t="shared" si="15"/>
        <v>1115864266</v>
      </c>
      <c r="N20" s="12">
        <f t="shared" si="15"/>
        <v>1115864266</v>
      </c>
      <c r="O20" s="12">
        <f t="shared" si="15"/>
        <v>1673796399</v>
      </c>
      <c r="P20" s="12">
        <f t="shared" si="15"/>
        <v>1673796399</v>
      </c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9"/>
      <c r="B21" s="30" t="s">
        <v>51</v>
      </c>
      <c r="C21" s="41"/>
      <c r="D21" s="12">
        <v>3.57332224E8</v>
      </c>
      <c r="E21" s="12">
        <f t="shared" ref="E21:P21" si="16">$D21*E$4</f>
        <v>35733222.4</v>
      </c>
      <c r="F21" s="12">
        <f t="shared" si="16"/>
        <v>17866611.2</v>
      </c>
      <c r="G21" s="12">
        <f t="shared" si="16"/>
        <v>17866611.2</v>
      </c>
      <c r="H21" s="12">
        <f t="shared" si="16"/>
        <v>35733222.4</v>
      </c>
      <c r="I21" s="12">
        <f t="shared" si="16"/>
        <v>17866611.2</v>
      </c>
      <c r="J21" s="12">
        <f t="shared" si="16"/>
        <v>17866611.2</v>
      </c>
      <c r="K21" s="12">
        <f t="shared" si="16"/>
        <v>17866611.2</v>
      </c>
      <c r="L21" s="12">
        <f t="shared" si="16"/>
        <v>17866611.2</v>
      </c>
      <c r="M21" s="12">
        <f t="shared" si="16"/>
        <v>35733222.4</v>
      </c>
      <c r="N21" s="12">
        <f t="shared" si="16"/>
        <v>35733222.4</v>
      </c>
      <c r="O21" s="12">
        <f t="shared" si="16"/>
        <v>53599833.6</v>
      </c>
      <c r="P21" s="12">
        <f t="shared" si="16"/>
        <v>53599833.6</v>
      </c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9"/>
      <c r="B22" s="30" t="s">
        <v>79</v>
      </c>
      <c r="C22" s="41"/>
      <c r="D22" s="12">
        <v>2093522.0</v>
      </c>
      <c r="E22" s="12">
        <f t="shared" ref="E22:P22" si="17">$D22*E$4</f>
        <v>209352.2</v>
      </c>
      <c r="F22" s="12">
        <f t="shared" si="17"/>
        <v>104676.1</v>
      </c>
      <c r="G22" s="12">
        <f t="shared" si="17"/>
        <v>104676.1</v>
      </c>
      <c r="H22" s="12">
        <f t="shared" si="17"/>
        <v>209352.2</v>
      </c>
      <c r="I22" s="12">
        <f t="shared" si="17"/>
        <v>104676.1</v>
      </c>
      <c r="J22" s="12">
        <f t="shared" si="17"/>
        <v>104676.1</v>
      </c>
      <c r="K22" s="12">
        <f t="shared" si="17"/>
        <v>104676.1</v>
      </c>
      <c r="L22" s="12">
        <f t="shared" si="17"/>
        <v>104676.1</v>
      </c>
      <c r="M22" s="12">
        <f t="shared" si="17"/>
        <v>209352.2</v>
      </c>
      <c r="N22" s="12">
        <f t="shared" si="17"/>
        <v>209352.2</v>
      </c>
      <c r="O22" s="12">
        <f t="shared" si="17"/>
        <v>314028.3</v>
      </c>
      <c r="P22" s="12">
        <f t="shared" si="17"/>
        <v>314028.3</v>
      </c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9"/>
      <c r="B23" s="30" t="s">
        <v>56</v>
      </c>
      <c r="C23" s="41"/>
      <c r="D23" s="12">
        <v>1.5088523115E10</v>
      </c>
      <c r="E23" s="12">
        <f t="shared" ref="E23:P23" si="18">$D23*E$4</f>
        <v>1508852312</v>
      </c>
      <c r="F23" s="12">
        <f t="shared" si="18"/>
        <v>754426155.8</v>
      </c>
      <c r="G23" s="12">
        <f t="shared" si="18"/>
        <v>754426155.8</v>
      </c>
      <c r="H23" s="12">
        <f t="shared" si="18"/>
        <v>1508852312</v>
      </c>
      <c r="I23" s="12">
        <f t="shared" si="18"/>
        <v>754426155.8</v>
      </c>
      <c r="J23" s="12">
        <f t="shared" si="18"/>
        <v>754426155.8</v>
      </c>
      <c r="K23" s="12">
        <f t="shared" si="18"/>
        <v>754426155.8</v>
      </c>
      <c r="L23" s="12">
        <f t="shared" si="18"/>
        <v>754426155.8</v>
      </c>
      <c r="M23" s="12">
        <f t="shared" si="18"/>
        <v>1508852312</v>
      </c>
      <c r="N23" s="12">
        <f t="shared" si="18"/>
        <v>1508852312</v>
      </c>
      <c r="O23" s="12">
        <f t="shared" si="18"/>
        <v>2263278467</v>
      </c>
      <c r="P23" s="12">
        <f t="shared" si="18"/>
        <v>2263278467</v>
      </c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9"/>
      <c r="B24" s="30" t="s">
        <v>57</v>
      </c>
      <c r="C24" s="41"/>
      <c r="D24" s="12">
        <v>1.1474527848E10</v>
      </c>
      <c r="E24" s="12">
        <f t="shared" ref="E24:P24" si="19">$D24*E$4</f>
        <v>1147452785</v>
      </c>
      <c r="F24" s="12">
        <f t="shared" si="19"/>
        <v>573726392.4</v>
      </c>
      <c r="G24" s="12">
        <f t="shared" si="19"/>
        <v>573726392.4</v>
      </c>
      <c r="H24" s="12">
        <f t="shared" si="19"/>
        <v>1147452785</v>
      </c>
      <c r="I24" s="12">
        <f t="shared" si="19"/>
        <v>573726392.4</v>
      </c>
      <c r="J24" s="12">
        <f t="shared" si="19"/>
        <v>573726392.4</v>
      </c>
      <c r="K24" s="12">
        <f t="shared" si="19"/>
        <v>573726392.4</v>
      </c>
      <c r="L24" s="12">
        <f t="shared" si="19"/>
        <v>573726392.4</v>
      </c>
      <c r="M24" s="12">
        <f t="shared" si="19"/>
        <v>1147452785</v>
      </c>
      <c r="N24" s="12">
        <f t="shared" si="19"/>
        <v>1147452785</v>
      </c>
      <c r="O24" s="12">
        <f t="shared" si="19"/>
        <v>1721179177</v>
      </c>
      <c r="P24" s="12">
        <f t="shared" si="19"/>
        <v>1721179177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29"/>
      <c r="B25" s="30" t="s">
        <v>61</v>
      </c>
      <c r="C25" s="41"/>
      <c r="D25" s="12">
        <v>5.803330888E9</v>
      </c>
      <c r="E25" s="12">
        <f t="shared" ref="E25:P25" si="20">$D25*E$4</f>
        <v>580333088.8</v>
      </c>
      <c r="F25" s="12">
        <f t="shared" si="20"/>
        <v>290166544.4</v>
      </c>
      <c r="G25" s="12">
        <f t="shared" si="20"/>
        <v>290166544.4</v>
      </c>
      <c r="H25" s="12">
        <f t="shared" si="20"/>
        <v>580333088.8</v>
      </c>
      <c r="I25" s="12">
        <f t="shared" si="20"/>
        <v>290166544.4</v>
      </c>
      <c r="J25" s="12">
        <f t="shared" si="20"/>
        <v>290166544.4</v>
      </c>
      <c r="K25" s="12">
        <f t="shared" si="20"/>
        <v>290166544.4</v>
      </c>
      <c r="L25" s="12">
        <f t="shared" si="20"/>
        <v>290166544.4</v>
      </c>
      <c r="M25" s="12">
        <f t="shared" si="20"/>
        <v>580333088.8</v>
      </c>
      <c r="N25" s="12">
        <f t="shared" si="20"/>
        <v>580333088.8</v>
      </c>
      <c r="O25" s="12">
        <f t="shared" si="20"/>
        <v>870499633.2</v>
      </c>
      <c r="P25" s="12">
        <f t="shared" si="20"/>
        <v>870499633.2</v>
      </c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9"/>
      <c r="B26" s="30" t="s">
        <v>92</v>
      </c>
      <c r="C26" s="41"/>
      <c r="D26" s="12">
        <v>2.24923968E8</v>
      </c>
      <c r="E26" s="12">
        <f t="shared" ref="E26:P26" si="21">$D26*E$4</f>
        <v>22492396.8</v>
      </c>
      <c r="F26" s="12">
        <f t="shared" si="21"/>
        <v>11246198.4</v>
      </c>
      <c r="G26" s="12">
        <f t="shared" si="21"/>
        <v>11246198.4</v>
      </c>
      <c r="H26" s="12">
        <f t="shared" si="21"/>
        <v>22492396.8</v>
      </c>
      <c r="I26" s="12">
        <f t="shared" si="21"/>
        <v>11246198.4</v>
      </c>
      <c r="J26" s="12">
        <f t="shared" si="21"/>
        <v>11246198.4</v>
      </c>
      <c r="K26" s="12">
        <f t="shared" si="21"/>
        <v>11246198.4</v>
      </c>
      <c r="L26" s="12">
        <f t="shared" si="21"/>
        <v>11246198.4</v>
      </c>
      <c r="M26" s="12">
        <f t="shared" si="21"/>
        <v>22492396.8</v>
      </c>
      <c r="N26" s="12">
        <f t="shared" si="21"/>
        <v>22492396.8</v>
      </c>
      <c r="O26" s="12">
        <f t="shared" si="21"/>
        <v>33738595.2</v>
      </c>
      <c r="P26" s="12">
        <f t="shared" si="21"/>
        <v>33738595.2</v>
      </c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9"/>
      <c r="B27" s="30" t="s">
        <v>63</v>
      </c>
      <c r="C27" s="41"/>
      <c r="D27" s="12">
        <f>D17-SUM(D18:D26)</f>
        <v>3375605963</v>
      </c>
      <c r="E27" s="12">
        <f t="shared" ref="E27:P27" si="22">$D27*E$4</f>
        <v>337560596.3</v>
      </c>
      <c r="F27" s="12">
        <f t="shared" si="22"/>
        <v>168780298.2</v>
      </c>
      <c r="G27" s="12">
        <f t="shared" si="22"/>
        <v>168780298.2</v>
      </c>
      <c r="H27" s="12">
        <f t="shared" si="22"/>
        <v>337560596.3</v>
      </c>
      <c r="I27" s="12">
        <f t="shared" si="22"/>
        <v>168780298.2</v>
      </c>
      <c r="J27" s="12">
        <f t="shared" si="22"/>
        <v>168780298.2</v>
      </c>
      <c r="K27" s="12">
        <f t="shared" si="22"/>
        <v>168780298.2</v>
      </c>
      <c r="L27" s="12">
        <f t="shared" si="22"/>
        <v>168780298.2</v>
      </c>
      <c r="M27" s="12">
        <f t="shared" si="22"/>
        <v>337560596.3</v>
      </c>
      <c r="N27" s="12">
        <f t="shared" si="22"/>
        <v>337560596.3</v>
      </c>
      <c r="O27" s="12">
        <f t="shared" si="22"/>
        <v>506340894.5</v>
      </c>
      <c r="P27" s="12">
        <f t="shared" si="22"/>
        <v>506340894.5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1" t="s">
        <v>99</v>
      </c>
      <c r="B28" s="32" t="s">
        <v>100</v>
      </c>
      <c r="C28" s="34"/>
      <c r="D28" s="37">
        <v>1.70543492E9</v>
      </c>
      <c r="E28" s="37">
        <f t="shared" ref="E28:P28" si="23">$D28*E$4</f>
        <v>170543492</v>
      </c>
      <c r="F28" s="37">
        <f t="shared" si="23"/>
        <v>85271746</v>
      </c>
      <c r="G28" s="37">
        <f t="shared" si="23"/>
        <v>85271746</v>
      </c>
      <c r="H28" s="37">
        <f t="shared" si="23"/>
        <v>170543492</v>
      </c>
      <c r="I28" s="37">
        <f t="shared" si="23"/>
        <v>85271746</v>
      </c>
      <c r="J28" s="37">
        <f t="shared" si="23"/>
        <v>85271746</v>
      </c>
      <c r="K28" s="37">
        <f t="shared" si="23"/>
        <v>85271746</v>
      </c>
      <c r="L28" s="37">
        <f t="shared" si="23"/>
        <v>85271746</v>
      </c>
      <c r="M28" s="37">
        <f t="shared" si="23"/>
        <v>170543492</v>
      </c>
      <c r="N28" s="37">
        <f t="shared" si="23"/>
        <v>170543492</v>
      </c>
      <c r="O28" s="37">
        <f t="shared" si="23"/>
        <v>255815238</v>
      </c>
      <c r="P28" s="37">
        <f t="shared" si="23"/>
        <v>255815238</v>
      </c>
      <c r="Q28" s="52"/>
      <c r="R28" s="56"/>
      <c r="S28" s="52"/>
      <c r="T28" s="52"/>
      <c r="U28" s="52"/>
      <c r="V28" s="52"/>
      <c r="W28" s="52"/>
      <c r="X28" s="52"/>
      <c r="Y28" s="52"/>
      <c r="Z28" s="52"/>
    </row>
    <row r="29" ht="15.75" customHeight="1">
      <c r="A29" s="50"/>
      <c r="B29" s="30" t="s">
        <v>102</v>
      </c>
      <c r="C29" s="41"/>
      <c r="D29" s="12">
        <f>D28-D30-D31</f>
        <v>1286224777</v>
      </c>
      <c r="E29" s="12">
        <f t="shared" ref="E29:P29" si="24">$D29*E$4</f>
        <v>128622477.7</v>
      </c>
      <c r="F29" s="12">
        <f t="shared" si="24"/>
        <v>64311238.85</v>
      </c>
      <c r="G29" s="12">
        <f t="shared" si="24"/>
        <v>64311238.85</v>
      </c>
      <c r="H29" s="12">
        <f t="shared" si="24"/>
        <v>128622477.7</v>
      </c>
      <c r="I29" s="12">
        <f t="shared" si="24"/>
        <v>64311238.85</v>
      </c>
      <c r="J29" s="12">
        <f t="shared" si="24"/>
        <v>64311238.85</v>
      </c>
      <c r="K29" s="12">
        <f t="shared" si="24"/>
        <v>64311238.85</v>
      </c>
      <c r="L29" s="12">
        <f t="shared" si="24"/>
        <v>64311238.85</v>
      </c>
      <c r="M29" s="12">
        <f t="shared" si="24"/>
        <v>128622477.7</v>
      </c>
      <c r="N29" s="12">
        <f t="shared" si="24"/>
        <v>128622477.7</v>
      </c>
      <c r="O29" s="12">
        <f t="shared" si="24"/>
        <v>192933716.6</v>
      </c>
      <c r="P29" s="12">
        <f t="shared" si="24"/>
        <v>192933716.6</v>
      </c>
      <c r="Q29" s="52"/>
      <c r="R29" s="56"/>
      <c r="S29" s="52"/>
      <c r="T29" s="52"/>
      <c r="U29" s="52"/>
      <c r="V29" s="52"/>
      <c r="W29" s="52"/>
      <c r="X29" s="52"/>
      <c r="Y29" s="52"/>
      <c r="Z29" s="52"/>
    </row>
    <row r="30" ht="15.75" customHeight="1">
      <c r="A30" s="50"/>
      <c r="B30" s="30" t="s">
        <v>104</v>
      </c>
      <c r="C30" s="41"/>
      <c r="D30" s="12">
        <v>3.025E7</v>
      </c>
      <c r="E30" s="12">
        <f t="shared" ref="E30:P30" si="25">$D30*E$4</f>
        <v>3025000</v>
      </c>
      <c r="F30" s="12">
        <f t="shared" si="25"/>
        <v>1512500</v>
      </c>
      <c r="G30" s="12">
        <f t="shared" si="25"/>
        <v>1512500</v>
      </c>
      <c r="H30" s="12">
        <f t="shared" si="25"/>
        <v>3025000</v>
      </c>
      <c r="I30" s="12">
        <f t="shared" si="25"/>
        <v>1512500</v>
      </c>
      <c r="J30" s="12">
        <f t="shared" si="25"/>
        <v>1512500</v>
      </c>
      <c r="K30" s="12">
        <f t="shared" si="25"/>
        <v>1512500</v>
      </c>
      <c r="L30" s="12">
        <f t="shared" si="25"/>
        <v>1512500</v>
      </c>
      <c r="M30" s="12">
        <f t="shared" si="25"/>
        <v>3025000</v>
      </c>
      <c r="N30" s="12">
        <f t="shared" si="25"/>
        <v>3025000</v>
      </c>
      <c r="O30" s="12">
        <f t="shared" si="25"/>
        <v>4537500</v>
      </c>
      <c r="P30" s="12">
        <f t="shared" si="25"/>
        <v>4537500</v>
      </c>
      <c r="Q30" s="52"/>
      <c r="R30" s="56"/>
      <c r="S30" s="52"/>
      <c r="T30" s="52"/>
      <c r="U30" s="52"/>
      <c r="V30" s="52"/>
      <c r="W30" s="52"/>
      <c r="X30" s="52"/>
      <c r="Y30" s="52"/>
      <c r="Z30" s="52"/>
    </row>
    <row r="31" ht="15.75" customHeight="1">
      <c r="A31" s="50"/>
      <c r="B31" s="30" t="s">
        <v>107</v>
      </c>
      <c r="C31" s="41"/>
      <c r="D31" s="12">
        <v>3.88960143E8</v>
      </c>
      <c r="E31" s="12">
        <f t="shared" ref="E31:P31" si="26">$D31*E$4</f>
        <v>38896014.3</v>
      </c>
      <c r="F31" s="12">
        <f t="shared" si="26"/>
        <v>19448007.15</v>
      </c>
      <c r="G31" s="12">
        <f t="shared" si="26"/>
        <v>19448007.15</v>
      </c>
      <c r="H31" s="12">
        <f t="shared" si="26"/>
        <v>38896014.3</v>
      </c>
      <c r="I31" s="12">
        <f t="shared" si="26"/>
        <v>19448007.15</v>
      </c>
      <c r="J31" s="12">
        <f t="shared" si="26"/>
        <v>19448007.15</v>
      </c>
      <c r="K31" s="12">
        <f t="shared" si="26"/>
        <v>19448007.15</v>
      </c>
      <c r="L31" s="12">
        <f t="shared" si="26"/>
        <v>19448007.15</v>
      </c>
      <c r="M31" s="12">
        <f t="shared" si="26"/>
        <v>38896014.3</v>
      </c>
      <c r="N31" s="12">
        <f t="shared" si="26"/>
        <v>38896014.3</v>
      </c>
      <c r="O31" s="12">
        <f t="shared" si="26"/>
        <v>58344021.45</v>
      </c>
      <c r="P31" s="12">
        <f t="shared" si="26"/>
        <v>58344021.45</v>
      </c>
      <c r="Q31" s="52"/>
      <c r="R31" s="56"/>
      <c r="S31" s="52"/>
      <c r="T31" s="52"/>
      <c r="U31" s="52"/>
      <c r="V31" s="52"/>
      <c r="W31" s="52"/>
      <c r="X31" s="52"/>
      <c r="Y31" s="52"/>
      <c r="Z31" s="52"/>
    </row>
    <row r="32" ht="15.75" customHeight="1">
      <c r="A32" s="50"/>
      <c r="B32" s="53"/>
      <c r="C32" s="58"/>
      <c r="D32" s="54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2"/>
      <c r="R32" s="56"/>
      <c r="S32" s="52"/>
      <c r="T32" s="52"/>
      <c r="U32" s="52"/>
      <c r="V32" s="52"/>
      <c r="W32" s="52"/>
      <c r="X32" s="52"/>
      <c r="Y32" s="52"/>
      <c r="Z32" s="52"/>
    </row>
    <row r="33" ht="15.75" customHeight="1">
      <c r="A33" s="31" t="s">
        <v>112</v>
      </c>
      <c r="B33" s="32" t="s">
        <v>113</v>
      </c>
      <c r="C33" s="34"/>
      <c r="D33" s="37"/>
      <c r="E33" s="37">
        <f t="shared" ref="E33:P33" si="27">$D33*E$4</f>
        <v>0</v>
      </c>
      <c r="F33" s="37">
        <f t="shared" si="27"/>
        <v>0</v>
      </c>
      <c r="G33" s="37">
        <f t="shared" si="27"/>
        <v>0</v>
      </c>
      <c r="H33" s="37">
        <f t="shared" si="27"/>
        <v>0</v>
      </c>
      <c r="I33" s="37">
        <f t="shared" si="27"/>
        <v>0</v>
      </c>
      <c r="J33" s="37">
        <f t="shared" si="27"/>
        <v>0</v>
      </c>
      <c r="K33" s="37">
        <f t="shared" si="27"/>
        <v>0</v>
      </c>
      <c r="L33" s="37">
        <f t="shared" si="27"/>
        <v>0</v>
      </c>
      <c r="M33" s="37">
        <f t="shared" si="27"/>
        <v>0</v>
      </c>
      <c r="N33" s="37">
        <f t="shared" si="27"/>
        <v>0</v>
      </c>
      <c r="O33" s="37">
        <f t="shared" si="27"/>
        <v>0</v>
      </c>
      <c r="P33" s="37">
        <f t="shared" si="27"/>
        <v>0</v>
      </c>
      <c r="Q33" s="52"/>
      <c r="R33" s="56"/>
      <c r="S33" s="52"/>
      <c r="T33" s="52"/>
      <c r="U33" s="52"/>
      <c r="V33" s="52"/>
      <c r="W33" s="52"/>
      <c r="X33" s="52"/>
      <c r="Y33" s="52"/>
      <c r="Z33" s="52"/>
    </row>
    <row r="34" ht="15.75" customHeight="1">
      <c r="A34" s="50"/>
      <c r="B34" s="53"/>
      <c r="C34" s="58"/>
      <c r="D34" s="54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2"/>
      <c r="R34" s="56"/>
      <c r="S34" s="52"/>
      <c r="T34" s="52"/>
      <c r="U34" s="52"/>
      <c r="V34" s="52"/>
      <c r="W34" s="52"/>
      <c r="X34" s="52"/>
      <c r="Y34" s="52"/>
      <c r="Z34" s="52"/>
    </row>
    <row r="35" ht="15.75" customHeight="1">
      <c r="A35" s="50"/>
      <c r="B35" s="53"/>
      <c r="C35" s="58"/>
      <c r="D35" s="54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2"/>
      <c r="R35" s="56"/>
      <c r="S35" s="52"/>
      <c r="T35" s="52"/>
      <c r="U35" s="52"/>
      <c r="V35" s="52"/>
      <c r="W35" s="52"/>
      <c r="X35" s="52"/>
      <c r="Y35" s="52"/>
      <c r="Z35" s="52"/>
    </row>
    <row r="36" ht="15.75" customHeight="1">
      <c r="A36" s="50"/>
      <c r="B36" s="53"/>
      <c r="C36" s="58"/>
      <c r="D36" s="54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2"/>
      <c r="R36" s="56"/>
      <c r="S36" s="52"/>
      <c r="T36" s="52"/>
      <c r="U36" s="52"/>
      <c r="V36" s="52"/>
      <c r="W36" s="52"/>
      <c r="X36" s="52"/>
      <c r="Y36" s="52"/>
      <c r="Z36" s="52"/>
    </row>
    <row r="37" ht="15.75" customHeight="1">
      <c r="A37" s="50"/>
      <c r="B37" s="53"/>
      <c r="C37" s="58"/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2"/>
      <c r="R37" s="56"/>
      <c r="S37" s="52"/>
      <c r="T37" s="52"/>
      <c r="U37" s="52"/>
      <c r="V37" s="52"/>
      <c r="W37" s="52"/>
      <c r="X37" s="52"/>
      <c r="Y37" s="52"/>
      <c r="Z37" s="52"/>
    </row>
    <row r="38" ht="15.75" customHeight="1">
      <c r="A38" s="50"/>
      <c r="B38" s="53"/>
      <c r="C38" s="58"/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2"/>
      <c r="R38" s="56"/>
      <c r="S38" s="52"/>
      <c r="T38" s="52"/>
      <c r="U38" s="52"/>
      <c r="V38" s="52"/>
      <c r="W38" s="52"/>
      <c r="X38" s="52"/>
      <c r="Y38" s="52"/>
      <c r="Z38" s="52"/>
    </row>
    <row r="39" ht="15.75" customHeight="1">
      <c r="A39" s="50"/>
      <c r="B39" s="53"/>
      <c r="C39" s="58"/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2"/>
      <c r="R39" s="56"/>
      <c r="S39" s="52"/>
      <c r="T39" s="52"/>
      <c r="U39" s="52"/>
      <c r="V39" s="52"/>
      <c r="W39" s="52"/>
      <c r="X39" s="52"/>
      <c r="Y39" s="52"/>
      <c r="Z39" s="52"/>
    </row>
    <row r="40" ht="15.75" customHeight="1">
      <c r="A40" s="21" t="s">
        <v>39</v>
      </c>
      <c r="B40" s="22" t="s">
        <v>70</v>
      </c>
      <c r="C40" s="26">
        <v>11.0</v>
      </c>
      <c r="D40" s="27">
        <v>8.876873508602749E11</v>
      </c>
      <c r="E40" s="27">
        <f t="shared" ref="E40:P40" si="28">$D40*E$4</f>
        <v>88768735086</v>
      </c>
      <c r="F40" s="27">
        <f t="shared" si="28"/>
        <v>44384367543</v>
      </c>
      <c r="G40" s="27">
        <f t="shared" si="28"/>
        <v>44384367543</v>
      </c>
      <c r="H40" s="27">
        <f t="shared" si="28"/>
        <v>88768735086</v>
      </c>
      <c r="I40" s="27">
        <f t="shared" si="28"/>
        <v>44384367543</v>
      </c>
      <c r="J40" s="27">
        <f t="shared" si="28"/>
        <v>44384367543</v>
      </c>
      <c r="K40" s="27">
        <f t="shared" si="28"/>
        <v>44384367543</v>
      </c>
      <c r="L40" s="27">
        <f t="shared" si="28"/>
        <v>44384367543</v>
      </c>
      <c r="M40" s="27">
        <f t="shared" si="28"/>
        <v>88768735086</v>
      </c>
      <c r="N40" s="27">
        <f t="shared" si="28"/>
        <v>88768735086</v>
      </c>
      <c r="O40" s="27">
        <f t="shared" si="28"/>
        <v>133153102629</v>
      </c>
      <c r="P40" s="27">
        <f t="shared" si="28"/>
        <v>133153102629</v>
      </c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3" t="s">
        <v>34</v>
      </c>
      <c r="B41" s="44" t="s">
        <v>73</v>
      </c>
      <c r="C41" s="64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29">
        <v>1.0</v>
      </c>
      <c r="B42" s="30" t="s">
        <v>31</v>
      </c>
      <c r="C42" s="41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 t="str">
        <f t="shared" ref="Q42:Q43" si="29">#REF!*Q45</f>
        <v>#REF!</v>
      </c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9">
        <v>2.0</v>
      </c>
      <c r="B43" s="30" t="s">
        <v>37</v>
      </c>
      <c r="C43" s="41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 t="str">
        <f t="shared" si="29"/>
        <v>#REF!</v>
      </c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7"/>
      <c r="B44" s="48" t="s">
        <v>85</v>
      </c>
      <c r="C44" s="65"/>
      <c r="D44" s="35"/>
      <c r="E44" s="39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ht="15.75" customHeight="1">
      <c r="A45" s="50">
        <v>1.0</v>
      </c>
      <c r="B45" s="30" t="s">
        <v>31</v>
      </c>
      <c r="C45" s="66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5.75" customHeight="1">
      <c r="A46" s="50">
        <v>2.0</v>
      </c>
      <c r="B46" s="30" t="s">
        <v>37</v>
      </c>
      <c r="C46" s="66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5.75" customHeight="1">
      <c r="A47" s="43" t="s">
        <v>65</v>
      </c>
      <c r="B47" s="44" t="s">
        <v>91</v>
      </c>
      <c r="C47" s="64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29">
        <v>1.0</v>
      </c>
      <c r="B48" s="30" t="s">
        <v>31</v>
      </c>
      <c r="C48" s="41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 t="str">
        <f t="shared" ref="Q48:Q49" si="30">#REF!*Q51</f>
        <v>#REF!</v>
      </c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9">
        <v>2.0</v>
      </c>
      <c r="B49" s="30" t="s">
        <v>37</v>
      </c>
      <c r="C49" s="41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 t="str">
        <f t="shared" si="30"/>
        <v>#REF!</v>
      </c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3"/>
      <c r="B50" s="48" t="s">
        <v>111</v>
      </c>
      <c r="C50" s="64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50">
        <v>1.0</v>
      </c>
      <c r="B51" s="30" t="s">
        <v>31</v>
      </c>
      <c r="C51" s="66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5.75" customHeight="1">
      <c r="A52" s="50">
        <v>2.0</v>
      </c>
      <c r="B52" s="30" t="s">
        <v>37</v>
      </c>
      <c r="C52" s="66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5.75" customHeight="1">
      <c r="A53" s="21" t="s">
        <v>46</v>
      </c>
      <c r="B53" s="22" t="s">
        <v>96</v>
      </c>
      <c r="C53" s="26">
        <v>20.0</v>
      </c>
      <c r="D53" s="27">
        <f t="shared" ref="D53:P53" si="31">D6-D40</f>
        <v>168672784603</v>
      </c>
      <c r="E53" s="27">
        <f t="shared" si="31"/>
        <v>16867278460</v>
      </c>
      <c r="F53" s="27">
        <f t="shared" si="31"/>
        <v>8433639230</v>
      </c>
      <c r="G53" s="27">
        <f t="shared" si="31"/>
        <v>8433639230</v>
      </c>
      <c r="H53" s="27">
        <f t="shared" si="31"/>
        <v>16867278460</v>
      </c>
      <c r="I53" s="27">
        <f t="shared" si="31"/>
        <v>8433639230</v>
      </c>
      <c r="J53" s="27">
        <f t="shared" si="31"/>
        <v>8433639230</v>
      </c>
      <c r="K53" s="27">
        <f t="shared" si="31"/>
        <v>8433639230</v>
      </c>
      <c r="L53" s="27">
        <f t="shared" si="31"/>
        <v>8433639230</v>
      </c>
      <c r="M53" s="27">
        <f t="shared" si="31"/>
        <v>16867278460</v>
      </c>
      <c r="N53" s="27">
        <f t="shared" si="31"/>
        <v>16867278460</v>
      </c>
      <c r="O53" s="27">
        <f t="shared" si="31"/>
        <v>25300917690</v>
      </c>
      <c r="P53" s="27">
        <f t="shared" si="31"/>
        <v>25300917690</v>
      </c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9"/>
      <c r="B54" s="53" t="s">
        <v>101</v>
      </c>
      <c r="C54" s="78"/>
      <c r="D54" s="79">
        <f>D53/D6</f>
        <v>0.1596735611</v>
      </c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1" t="s">
        <v>68</v>
      </c>
      <c r="B55" s="22" t="s">
        <v>106</v>
      </c>
      <c r="C55" s="26">
        <v>22.0</v>
      </c>
      <c r="D55" s="27">
        <v>1.9716916632240462E9</v>
      </c>
      <c r="E55" s="27">
        <f t="shared" ref="E55:P55" si="32">$D55*E$4</f>
        <v>197169166.3</v>
      </c>
      <c r="F55" s="27">
        <f t="shared" si="32"/>
        <v>98584583.16</v>
      </c>
      <c r="G55" s="27">
        <f t="shared" si="32"/>
        <v>98584583.16</v>
      </c>
      <c r="H55" s="27">
        <f t="shared" si="32"/>
        <v>197169166.3</v>
      </c>
      <c r="I55" s="27">
        <f t="shared" si="32"/>
        <v>98584583.16</v>
      </c>
      <c r="J55" s="27">
        <f t="shared" si="32"/>
        <v>98584583.16</v>
      </c>
      <c r="K55" s="27">
        <f t="shared" si="32"/>
        <v>98584583.16</v>
      </c>
      <c r="L55" s="27">
        <f t="shared" si="32"/>
        <v>98584583.16</v>
      </c>
      <c r="M55" s="27">
        <f t="shared" si="32"/>
        <v>197169166.3</v>
      </c>
      <c r="N55" s="27">
        <f t="shared" si="32"/>
        <v>197169166.3</v>
      </c>
      <c r="O55" s="27">
        <f t="shared" si="32"/>
        <v>295753749.5</v>
      </c>
      <c r="P55" s="27">
        <f t="shared" si="32"/>
        <v>295753749.5</v>
      </c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1" t="s">
        <v>94</v>
      </c>
      <c r="B56" s="22" t="s">
        <v>110</v>
      </c>
      <c r="C56" s="26">
        <v>23.0</v>
      </c>
      <c r="D56" s="27">
        <v>3.1629800258082077E10</v>
      </c>
      <c r="E56" s="27">
        <f t="shared" ref="E56:P56" si="33">$D56*E$4</f>
        <v>3162980026</v>
      </c>
      <c r="F56" s="27">
        <f t="shared" si="33"/>
        <v>1581490013</v>
      </c>
      <c r="G56" s="27">
        <f t="shared" si="33"/>
        <v>1581490013</v>
      </c>
      <c r="H56" s="27">
        <f t="shared" si="33"/>
        <v>3162980026</v>
      </c>
      <c r="I56" s="27">
        <f t="shared" si="33"/>
        <v>1581490013</v>
      </c>
      <c r="J56" s="27">
        <f t="shared" si="33"/>
        <v>1581490013</v>
      </c>
      <c r="K56" s="27">
        <f t="shared" si="33"/>
        <v>1581490013</v>
      </c>
      <c r="L56" s="27">
        <f t="shared" si="33"/>
        <v>1581490013</v>
      </c>
      <c r="M56" s="27">
        <f t="shared" si="33"/>
        <v>3162980026</v>
      </c>
      <c r="N56" s="27">
        <f t="shared" si="33"/>
        <v>3162980026</v>
      </c>
      <c r="O56" s="27">
        <f t="shared" si="33"/>
        <v>4744470039</v>
      </c>
      <c r="P56" s="27">
        <f t="shared" si="33"/>
        <v>4744470039</v>
      </c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1"/>
      <c r="B57" s="82" t="s">
        <v>162</v>
      </c>
      <c r="C57" s="83">
        <v>24.0</v>
      </c>
      <c r="D57" s="84">
        <v>3.1624417220357746E10</v>
      </c>
      <c r="E57" s="84">
        <f t="shared" ref="E57:P57" si="34">$D57*E$4</f>
        <v>3162441722</v>
      </c>
      <c r="F57" s="84">
        <f t="shared" si="34"/>
        <v>1581220861</v>
      </c>
      <c r="G57" s="84">
        <f t="shared" si="34"/>
        <v>1581220861</v>
      </c>
      <c r="H57" s="84">
        <f t="shared" si="34"/>
        <v>3162441722</v>
      </c>
      <c r="I57" s="84">
        <f t="shared" si="34"/>
        <v>1581220861</v>
      </c>
      <c r="J57" s="84">
        <f t="shared" si="34"/>
        <v>1581220861</v>
      </c>
      <c r="K57" s="84">
        <f t="shared" si="34"/>
        <v>1581220861</v>
      </c>
      <c r="L57" s="84">
        <f t="shared" si="34"/>
        <v>1581220861</v>
      </c>
      <c r="M57" s="84">
        <f t="shared" si="34"/>
        <v>3162441722</v>
      </c>
      <c r="N57" s="84">
        <f t="shared" si="34"/>
        <v>3162441722</v>
      </c>
      <c r="O57" s="84">
        <f t="shared" si="34"/>
        <v>4743662583</v>
      </c>
      <c r="P57" s="84">
        <f t="shared" si="34"/>
        <v>4743662583</v>
      </c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1" t="s">
        <v>105</v>
      </c>
      <c r="B58" s="22" t="s">
        <v>117</v>
      </c>
      <c r="C58" s="26">
        <v>25.0</v>
      </c>
      <c r="D58" s="27">
        <v>3.1690804063885498E10</v>
      </c>
      <c r="E58" s="27">
        <f t="shared" ref="E58:P58" si="35">$D58*E$4</f>
        <v>3169080406</v>
      </c>
      <c r="F58" s="27">
        <f t="shared" si="35"/>
        <v>1584540203</v>
      </c>
      <c r="G58" s="27">
        <f t="shared" si="35"/>
        <v>1584540203</v>
      </c>
      <c r="H58" s="27">
        <f t="shared" si="35"/>
        <v>3169080406</v>
      </c>
      <c r="I58" s="27">
        <f t="shared" si="35"/>
        <v>1584540203</v>
      </c>
      <c r="J58" s="27">
        <f t="shared" si="35"/>
        <v>1584540203</v>
      </c>
      <c r="K58" s="27">
        <f t="shared" si="35"/>
        <v>1584540203</v>
      </c>
      <c r="L58" s="27">
        <f t="shared" si="35"/>
        <v>1584540203</v>
      </c>
      <c r="M58" s="27">
        <f t="shared" si="35"/>
        <v>3169080406</v>
      </c>
      <c r="N58" s="27">
        <f t="shared" si="35"/>
        <v>3169080406</v>
      </c>
      <c r="O58" s="27">
        <f t="shared" si="35"/>
        <v>4753620610</v>
      </c>
      <c r="P58" s="27">
        <f t="shared" si="35"/>
        <v>4753620610</v>
      </c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1" t="s">
        <v>109</v>
      </c>
      <c r="B59" s="22" t="s">
        <v>121</v>
      </c>
      <c r="C59" s="26">
        <v>26.0</v>
      </c>
      <c r="D59" s="27">
        <v>3.1690804063885498E10</v>
      </c>
      <c r="E59" s="27">
        <f t="shared" ref="E59:P59" si="36">$D59*E$4</f>
        <v>3169080406</v>
      </c>
      <c r="F59" s="27">
        <f t="shared" si="36"/>
        <v>1584540203</v>
      </c>
      <c r="G59" s="27">
        <f t="shared" si="36"/>
        <v>1584540203</v>
      </c>
      <c r="H59" s="27">
        <f t="shared" si="36"/>
        <v>3169080406</v>
      </c>
      <c r="I59" s="27">
        <f t="shared" si="36"/>
        <v>1584540203</v>
      </c>
      <c r="J59" s="27">
        <f t="shared" si="36"/>
        <v>1584540203</v>
      </c>
      <c r="K59" s="27">
        <f t="shared" si="36"/>
        <v>1584540203</v>
      </c>
      <c r="L59" s="27">
        <f t="shared" si="36"/>
        <v>1584540203</v>
      </c>
      <c r="M59" s="27">
        <f t="shared" si="36"/>
        <v>3169080406</v>
      </c>
      <c r="N59" s="27">
        <f t="shared" si="36"/>
        <v>3169080406</v>
      </c>
      <c r="O59" s="27">
        <f t="shared" si="36"/>
        <v>4753620610</v>
      </c>
      <c r="P59" s="27">
        <f t="shared" si="36"/>
        <v>4753620610</v>
      </c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 t="s">
        <v>116</v>
      </c>
      <c r="B60" s="62" t="s">
        <v>125</v>
      </c>
      <c r="C60" s="26">
        <v>30.0</v>
      </c>
      <c r="D60" s="27">
        <f t="shared" ref="D60:P60" si="37">D53+D55-D56-D58-D59</f>
        <v>75633067880</v>
      </c>
      <c r="E60" s="27">
        <f t="shared" si="37"/>
        <v>7563306788</v>
      </c>
      <c r="F60" s="27">
        <f t="shared" si="37"/>
        <v>3781653394</v>
      </c>
      <c r="G60" s="27">
        <f t="shared" si="37"/>
        <v>3781653394</v>
      </c>
      <c r="H60" s="27">
        <f t="shared" si="37"/>
        <v>7563306788</v>
      </c>
      <c r="I60" s="27">
        <f t="shared" si="37"/>
        <v>3781653394</v>
      </c>
      <c r="J60" s="27">
        <f t="shared" si="37"/>
        <v>3781653394</v>
      </c>
      <c r="K60" s="27">
        <f t="shared" si="37"/>
        <v>3781653394</v>
      </c>
      <c r="L60" s="27">
        <f t="shared" si="37"/>
        <v>3781653394</v>
      </c>
      <c r="M60" s="27">
        <f t="shared" si="37"/>
        <v>7563306788</v>
      </c>
      <c r="N60" s="27">
        <f t="shared" si="37"/>
        <v>7563306788</v>
      </c>
      <c r="O60" s="27">
        <f t="shared" si="37"/>
        <v>11344960182</v>
      </c>
      <c r="P60" s="27">
        <f t="shared" si="37"/>
        <v>11344960182</v>
      </c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9"/>
      <c r="B61" s="30" t="s">
        <v>131</v>
      </c>
      <c r="C61" s="41">
        <v>31.0</v>
      </c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0" customHeight="1">
      <c r="A62" s="29"/>
      <c r="B62" s="30" t="s">
        <v>134</v>
      </c>
      <c r="C62" s="41">
        <v>32.0</v>
      </c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85" t="s">
        <v>34</v>
      </c>
      <c r="B63" s="86" t="s">
        <v>173</v>
      </c>
      <c r="C63" s="26">
        <v>40.0</v>
      </c>
      <c r="D63" s="87">
        <f>D61+D62</f>
        <v>0</v>
      </c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1" t="s">
        <v>124</v>
      </c>
      <c r="B64" s="88" t="s">
        <v>143</v>
      </c>
      <c r="C64" s="26">
        <v>50.0</v>
      </c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9" t="s">
        <v>137</v>
      </c>
      <c r="B65" s="62" t="s">
        <v>179</v>
      </c>
      <c r="C65" s="26">
        <v>51.0</v>
      </c>
      <c r="D65" s="27">
        <v>1.5126613577E10</v>
      </c>
      <c r="E65" s="27">
        <f t="shared" ref="E65:P65" si="38">E60*20%</f>
        <v>1512661358</v>
      </c>
      <c r="F65" s="27">
        <f t="shared" si="38"/>
        <v>756330678.8</v>
      </c>
      <c r="G65" s="27">
        <f t="shared" si="38"/>
        <v>756330678.8</v>
      </c>
      <c r="H65" s="27">
        <f t="shared" si="38"/>
        <v>1512661358</v>
      </c>
      <c r="I65" s="27">
        <f t="shared" si="38"/>
        <v>756330678.8</v>
      </c>
      <c r="J65" s="27">
        <f t="shared" si="38"/>
        <v>756330678.8</v>
      </c>
      <c r="K65" s="27">
        <f t="shared" si="38"/>
        <v>756330678.8</v>
      </c>
      <c r="L65" s="27">
        <f t="shared" si="38"/>
        <v>756330678.8</v>
      </c>
      <c r="M65" s="27">
        <f t="shared" si="38"/>
        <v>1512661358</v>
      </c>
      <c r="N65" s="27">
        <f t="shared" si="38"/>
        <v>1512661358</v>
      </c>
      <c r="O65" s="27">
        <f t="shared" si="38"/>
        <v>2268992036</v>
      </c>
      <c r="P65" s="27">
        <f t="shared" si="38"/>
        <v>2268992036</v>
      </c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90" t="s">
        <v>141</v>
      </c>
      <c r="B66" s="68" t="s">
        <v>143</v>
      </c>
      <c r="C66" s="91">
        <v>60.0</v>
      </c>
      <c r="D66" s="70">
        <f t="shared" ref="D66:P66" si="39">D60-D65</f>
        <v>60506454303</v>
      </c>
      <c r="E66" s="70">
        <f t="shared" si="39"/>
        <v>6050645430</v>
      </c>
      <c r="F66" s="70">
        <f t="shared" si="39"/>
        <v>3025322715</v>
      </c>
      <c r="G66" s="70">
        <f t="shared" si="39"/>
        <v>3025322715</v>
      </c>
      <c r="H66" s="70">
        <f t="shared" si="39"/>
        <v>6050645430</v>
      </c>
      <c r="I66" s="70">
        <f t="shared" si="39"/>
        <v>3025322715</v>
      </c>
      <c r="J66" s="70">
        <f t="shared" si="39"/>
        <v>3025322715</v>
      </c>
      <c r="K66" s="70">
        <f t="shared" si="39"/>
        <v>3025322715</v>
      </c>
      <c r="L66" s="70">
        <f t="shared" si="39"/>
        <v>3025322715</v>
      </c>
      <c r="M66" s="70">
        <f t="shared" si="39"/>
        <v>6050645430</v>
      </c>
      <c r="N66" s="70">
        <f t="shared" si="39"/>
        <v>6050645430</v>
      </c>
      <c r="O66" s="70">
        <f t="shared" si="39"/>
        <v>9075968146</v>
      </c>
      <c r="P66" s="70">
        <f t="shared" si="39"/>
        <v>9075968146</v>
      </c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1" t="s">
        <v>185</v>
      </c>
      <c r="B67" s="22" t="s">
        <v>186</v>
      </c>
      <c r="C67" s="26"/>
      <c r="D67" s="27">
        <f>D66+D65+D57</f>
        <v>107257485100</v>
      </c>
      <c r="E67" s="27">
        <f t="shared" ref="E67:P67" si="40">$D67*E$4</f>
        <v>10725748510</v>
      </c>
      <c r="F67" s="27">
        <f t="shared" si="40"/>
        <v>5362874255</v>
      </c>
      <c r="G67" s="27">
        <f t="shared" si="40"/>
        <v>5362874255</v>
      </c>
      <c r="H67" s="27">
        <f t="shared" si="40"/>
        <v>10725748510</v>
      </c>
      <c r="I67" s="27">
        <f t="shared" si="40"/>
        <v>5362874255</v>
      </c>
      <c r="J67" s="27">
        <f t="shared" si="40"/>
        <v>5362874255</v>
      </c>
      <c r="K67" s="27">
        <f t="shared" si="40"/>
        <v>5362874255</v>
      </c>
      <c r="L67" s="27">
        <f t="shared" si="40"/>
        <v>5362874255</v>
      </c>
      <c r="M67" s="27">
        <f t="shared" si="40"/>
        <v>10725748510</v>
      </c>
      <c r="N67" s="27">
        <f t="shared" si="40"/>
        <v>10725748510</v>
      </c>
      <c r="O67" s="27">
        <f t="shared" si="40"/>
        <v>16088622765</v>
      </c>
      <c r="P67" s="27">
        <f t="shared" si="40"/>
        <v>16088622765</v>
      </c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71" t="s">
        <v>190</v>
      </c>
      <c r="B68" s="72" t="s">
        <v>147</v>
      </c>
      <c r="C68" s="97"/>
      <c r="D68" s="74">
        <f>D67+LCTT_pa1!C4</f>
        <v>116589996984</v>
      </c>
      <c r="E68" s="74">
        <f t="shared" ref="E68:P68" si="41">$D68*E$4</f>
        <v>11658999698</v>
      </c>
      <c r="F68" s="74">
        <f t="shared" si="41"/>
        <v>5829499849</v>
      </c>
      <c r="G68" s="74">
        <f t="shared" si="41"/>
        <v>5829499849</v>
      </c>
      <c r="H68" s="74">
        <f t="shared" si="41"/>
        <v>11658999698</v>
      </c>
      <c r="I68" s="74">
        <f t="shared" si="41"/>
        <v>5829499849</v>
      </c>
      <c r="J68" s="74">
        <f t="shared" si="41"/>
        <v>5829499849</v>
      </c>
      <c r="K68" s="74">
        <f t="shared" si="41"/>
        <v>5829499849</v>
      </c>
      <c r="L68" s="74">
        <f t="shared" si="41"/>
        <v>5829499849</v>
      </c>
      <c r="M68" s="74">
        <f t="shared" si="41"/>
        <v>11658999698</v>
      </c>
      <c r="N68" s="74">
        <f t="shared" si="41"/>
        <v>11658999698</v>
      </c>
      <c r="O68" s="74">
        <f t="shared" si="41"/>
        <v>17488499548</v>
      </c>
      <c r="P68" s="74">
        <f t="shared" si="41"/>
        <v>17488499548</v>
      </c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4.25" customHeight="1">
      <c r="A71" s="4"/>
      <c r="B71" s="4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4.25" customHeight="1">
      <c r="A72" s="4"/>
      <c r="B72" s="4"/>
      <c r="C72" s="4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4.25" customHeight="1">
      <c r="A73" s="4"/>
      <c r="B73" s="4"/>
      <c r="C73" s="4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4.25" customHeight="1">
      <c r="A74" s="4"/>
      <c r="B74" s="4"/>
      <c r="C74" s="4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4.25" customHeight="1">
      <c r="A75" s="4"/>
      <c r="B75" s="4"/>
      <c r="C75" s="4"/>
      <c r="D75" s="4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4.25" customHeight="1">
      <c r="A76" s="4"/>
      <c r="B76" s="4"/>
      <c r="C76" s="4"/>
      <c r="D76" s="4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4.25" customHeight="1">
      <c r="A79" s="4"/>
      <c r="B79" s="4"/>
      <c r="C79" s="5"/>
      <c r="D79" s="5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4.25" customHeight="1">
      <c r="A81" s="4"/>
      <c r="B81" s="4"/>
      <c r="C81" s="108"/>
      <c r="D81" s="108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2.5" customHeight="1">
      <c r="A86" s="4"/>
      <c r="B86" s="4"/>
      <c r="C86" s="8"/>
      <c r="D86" s="8"/>
      <c r="E86" s="8"/>
      <c r="F86" s="8"/>
      <c r="G86" s="8"/>
      <c r="H86" s="8"/>
      <c r="I86" s="8"/>
      <c r="J86" s="8"/>
      <c r="K86" s="8"/>
      <c r="L86" s="8"/>
      <c r="M86" s="117"/>
      <c r="N86" s="8"/>
      <c r="O86" s="8"/>
      <c r="P86" s="8"/>
      <c r="Q86" s="8"/>
      <c r="R86" s="4"/>
      <c r="S86" s="4"/>
      <c r="T86" s="4"/>
      <c r="U86" s="4"/>
      <c r="V86" s="4"/>
      <c r="W86" s="4"/>
      <c r="X86" s="4"/>
      <c r="Y86" s="4"/>
      <c r="Z86" s="4"/>
    </row>
    <row r="87" ht="14.25" customHeight="1">
      <c r="A87" s="4"/>
      <c r="B87" s="4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4.25" customHeight="1">
      <c r="A88" s="4"/>
      <c r="B88" s="4"/>
      <c r="C88" s="5"/>
      <c r="D88" s="5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2.5" customHeight="1">
      <c r="A90" s="4"/>
      <c r="B90" s="4"/>
      <c r="C90" s="5"/>
      <c r="D90" s="5"/>
      <c r="E90" s="4"/>
      <c r="F90" s="4"/>
      <c r="G90" s="4"/>
      <c r="H90" s="4"/>
      <c r="I90" s="4"/>
      <c r="J90" s="4"/>
      <c r="K90" s="4"/>
      <c r="L90" s="122"/>
      <c r="M90" s="122"/>
      <c r="N90" s="122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</sheetData>
  <mergeCells count="3">
    <mergeCell ref="A1:P1"/>
    <mergeCell ref="A2:P2"/>
    <mergeCell ref="Q3:Q5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0"/>
    <col customWidth="1" min="2" max="2" width="51.57"/>
    <col customWidth="1" min="3" max="16" width="22.71"/>
    <col customWidth="1" min="17" max="27" width="8.0"/>
  </cols>
  <sheetData>
    <row r="1">
      <c r="A1" s="1"/>
      <c r="B1" s="1"/>
      <c r="C1" s="3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9"/>
      <c r="B2" s="10" t="s">
        <v>17</v>
      </c>
      <c r="C2" s="1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9">
        <v>100.0</v>
      </c>
      <c r="B3" s="10" t="s">
        <v>22</v>
      </c>
      <c r="C3" s="17">
        <v>100.0</v>
      </c>
      <c r="D3" s="18">
        <v>7.036273084185802E11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9">
        <v>110.0</v>
      </c>
      <c r="B4" s="10" t="s">
        <v>24</v>
      </c>
      <c r="C4" s="17">
        <v>110.0</v>
      </c>
      <c r="D4" s="18">
        <v>7.03746306202023E10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24">
        <v>111.0</v>
      </c>
      <c r="B5" s="25" t="s">
        <v>28</v>
      </c>
      <c r="C5" s="11">
        <v>111.0</v>
      </c>
      <c r="D5" s="12">
        <v>7.03746306202023E10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24">
        <v>112.0</v>
      </c>
      <c r="B6" s="25" t="s">
        <v>30</v>
      </c>
      <c r="C6" s="11">
        <v>112.0</v>
      </c>
      <c r="D6" s="12">
        <v>0.0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9">
        <v>120.0</v>
      </c>
      <c r="B7" s="10" t="s">
        <v>33</v>
      </c>
      <c r="C7" s="17">
        <v>120.0</v>
      </c>
      <c r="D7" s="18">
        <v>2.8209952541E10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24">
        <v>121.0</v>
      </c>
      <c r="B8" s="25" t="s">
        <v>35</v>
      </c>
      <c r="C8" s="33">
        <v>121.0</v>
      </c>
      <c r="D8" s="35">
        <v>0.0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24">
        <v>122.0</v>
      </c>
      <c r="B9" s="25" t="s">
        <v>38</v>
      </c>
      <c r="C9" s="38">
        <v>122.0</v>
      </c>
      <c r="D9" s="39">
        <v>0.0</v>
      </c>
      <c r="E9" s="39"/>
      <c r="F9" s="39"/>
      <c r="G9" s="12"/>
      <c r="H9" s="39"/>
      <c r="I9" s="39"/>
      <c r="J9" s="39"/>
      <c r="K9" s="39"/>
      <c r="L9" s="39"/>
      <c r="M9" s="39"/>
      <c r="N9" s="39"/>
      <c r="O9" s="39"/>
      <c r="P9" s="39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24">
        <v>123.0</v>
      </c>
      <c r="B10" s="25" t="s">
        <v>41</v>
      </c>
      <c r="C10" s="11">
        <v>123.0</v>
      </c>
      <c r="D10" s="12">
        <v>2.8209952541E10</v>
      </c>
      <c r="E10" s="39"/>
      <c r="F10" s="39"/>
      <c r="G10" s="12"/>
      <c r="H10" s="39"/>
      <c r="I10" s="39"/>
      <c r="J10" s="39"/>
      <c r="K10" s="39"/>
      <c r="L10" s="39"/>
      <c r="M10" s="39"/>
      <c r="N10" s="39"/>
      <c r="O10" s="39"/>
      <c r="P10" s="39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9">
        <v>130.0</v>
      </c>
      <c r="B11" s="10" t="s">
        <v>43</v>
      </c>
      <c r="C11" s="17">
        <v>130.0</v>
      </c>
      <c r="D11" s="18">
        <v>4.1350062764518274E11</v>
      </c>
      <c r="E11" s="18">
        <f t="shared" ref="E11:P11" si="1">SUM(E12:E19)</f>
        <v>34458385637</v>
      </c>
      <c r="F11" s="18">
        <f t="shared" si="1"/>
        <v>34458385637</v>
      </c>
      <c r="G11" s="18">
        <f t="shared" si="1"/>
        <v>34458385637</v>
      </c>
      <c r="H11" s="18">
        <f t="shared" si="1"/>
        <v>34458385637</v>
      </c>
      <c r="I11" s="18">
        <f t="shared" si="1"/>
        <v>34458385637</v>
      </c>
      <c r="J11" s="18">
        <f t="shared" si="1"/>
        <v>34458385637</v>
      </c>
      <c r="K11" s="18">
        <f t="shared" si="1"/>
        <v>34458385637</v>
      </c>
      <c r="L11" s="18">
        <f t="shared" si="1"/>
        <v>34458385637</v>
      </c>
      <c r="M11" s="18">
        <f t="shared" si="1"/>
        <v>34458385637</v>
      </c>
      <c r="N11" s="18">
        <f t="shared" si="1"/>
        <v>34458385637</v>
      </c>
      <c r="O11" s="18">
        <f t="shared" si="1"/>
        <v>34458385637</v>
      </c>
      <c r="P11" s="18">
        <f t="shared" si="1"/>
        <v>34458385637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24">
        <v>131.0</v>
      </c>
      <c r="B12" s="25" t="s">
        <v>45</v>
      </c>
      <c r="C12" s="11">
        <v>131.0</v>
      </c>
      <c r="D12" s="12">
        <v>1.7606002257714166E11</v>
      </c>
      <c r="E12" s="12">
        <f t="shared" ref="E12:P12" si="2">$D$12/12</f>
        <v>14671668548</v>
      </c>
      <c r="F12" s="12">
        <f t="shared" si="2"/>
        <v>14671668548</v>
      </c>
      <c r="G12" s="12">
        <f t="shared" si="2"/>
        <v>14671668548</v>
      </c>
      <c r="H12" s="12">
        <f t="shared" si="2"/>
        <v>14671668548</v>
      </c>
      <c r="I12" s="12">
        <f t="shared" si="2"/>
        <v>14671668548</v>
      </c>
      <c r="J12" s="12">
        <f t="shared" si="2"/>
        <v>14671668548</v>
      </c>
      <c r="K12" s="12">
        <f t="shared" si="2"/>
        <v>14671668548</v>
      </c>
      <c r="L12" s="12">
        <f t="shared" si="2"/>
        <v>14671668548</v>
      </c>
      <c r="M12" s="12">
        <f t="shared" si="2"/>
        <v>14671668548</v>
      </c>
      <c r="N12" s="12">
        <f t="shared" si="2"/>
        <v>14671668548</v>
      </c>
      <c r="O12" s="12">
        <f t="shared" si="2"/>
        <v>14671668548</v>
      </c>
      <c r="P12" s="12">
        <f t="shared" si="2"/>
        <v>14671668548</v>
      </c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24">
        <v>132.0</v>
      </c>
      <c r="B13" s="25" t="s">
        <v>48</v>
      </c>
      <c r="C13" s="11">
        <v>132.0</v>
      </c>
      <c r="D13" s="12">
        <v>2.287203854810411E11</v>
      </c>
      <c r="E13" s="12">
        <f t="shared" ref="E13:P13" si="3">$D$13/12</f>
        <v>19060032123</v>
      </c>
      <c r="F13" s="12">
        <f t="shared" si="3"/>
        <v>19060032123</v>
      </c>
      <c r="G13" s="12">
        <f t="shared" si="3"/>
        <v>19060032123</v>
      </c>
      <c r="H13" s="12">
        <f t="shared" si="3"/>
        <v>19060032123</v>
      </c>
      <c r="I13" s="12">
        <f t="shared" si="3"/>
        <v>19060032123</v>
      </c>
      <c r="J13" s="12">
        <f t="shared" si="3"/>
        <v>19060032123</v>
      </c>
      <c r="K13" s="12">
        <f t="shared" si="3"/>
        <v>19060032123</v>
      </c>
      <c r="L13" s="12">
        <f t="shared" si="3"/>
        <v>19060032123</v>
      </c>
      <c r="M13" s="12">
        <f t="shared" si="3"/>
        <v>19060032123</v>
      </c>
      <c r="N13" s="12">
        <f t="shared" si="3"/>
        <v>19060032123</v>
      </c>
      <c r="O13" s="12">
        <f t="shared" si="3"/>
        <v>19060032123</v>
      </c>
      <c r="P13" s="12">
        <f t="shared" si="3"/>
        <v>19060032123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24">
        <v>133.0</v>
      </c>
      <c r="B14" s="25" t="s">
        <v>50</v>
      </c>
      <c r="C14" s="11">
        <v>133.0</v>
      </c>
      <c r="D14" s="12">
        <v>0.0</v>
      </c>
      <c r="E14" s="12"/>
      <c r="F14" s="12"/>
      <c r="G14" s="35"/>
      <c r="H14" s="12"/>
      <c r="I14" s="12"/>
      <c r="J14" s="12"/>
      <c r="K14" s="12"/>
      <c r="L14" s="12"/>
      <c r="M14" s="12"/>
      <c r="N14" s="12"/>
      <c r="O14" s="12"/>
      <c r="P14" s="12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24">
        <v>134.0</v>
      </c>
      <c r="B15" s="25" t="s">
        <v>52</v>
      </c>
      <c r="C15" s="11">
        <v>134.0</v>
      </c>
      <c r="D15" s="12">
        <v>0.0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24">
        <v>135.0</v>
      </c>
      <c r="B16" s="25" t="s">
        <v>54</v>
      </c>
      <c r="C16" s="11"/>
      <c r="D16" s="12">
        <v>0.0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24">
        <v>136.0</v>
      </c>
      <c r="B17" s="25" t="s">
        <v>55</v>
      </c>
      <c r="C17" s="11">
        <v>135.0</v>
      </c>
      <c r="D17" s="46">
        <v>8.720219587E9</v>
      </c>
      <c r="E17" s="46">
        <f t="shared" ref="E17:P17" si="4">$D$17/12</f>
        <v>726684965.6</v>
      </c>
      <c r="F17" s="46">
        <f t="shared" si="4"/>
        <v>726684965.6</v>
      </c>
      <c r="G17" s="46">
        <f t="shared" si="4"/>
        <v>726684965.6</v>
      </c>
      <c r="H17" s="46">
        <f t="shared" si="4"/>
        <v>726684965.6</v>
      </c>
      <c r="I17" s="46">
        <f t="shared" si="4"/>
        <v>726684965.6</v>
      </c>
      <c r="J17" s="46">
        <f t="shared" si="4"/>
        <v>726684965.6</v>
      </c>
      <c r="K17" s="46">
        <f t="shared" si="4"/>
        <v>726684965.6</v>
      </c>
      <c r="L17" s="46">
        <f t="shared" si="4"/>
        <v>726684965.6</v>
      </c>
      <c r="M17" s="46">
        <f t="shared" si="4"/>
        <v>726684965.6</v>
      </c>
      <c r="N17" s="46">
        <f t="shared" si="4"/>
        <v>726684965.6</v>
      </c>
      <c r="O17" s="46">
        <f t="shared" si="4"/>
        <v>726684965.6</v>
      </c>
      <c r="P17" s="46">
        <f t="shared" si="4"/>
        <v>726684965.6</v>
      </c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24">
        <v>137.0</v>
      </c>
      <c r="B18" s="25" t="s">
        <v>58</v>
      </c>
      <c r="C18" s="38">
        <v>136.0</v>
      </c>
      <c r="D18" s="39">
        <v>0.0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24">
        <v>139.0</v>
      </c>
      <c r="B19" s="25" t="s">
        <v>59</v>
      </c>
      <c r="C19" s="38">
        <v>137.0</v>
      </c>
      <c r="D19" s="39">
        <v>0.0</v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12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9">
        <v>140.0</v>
      </c>
      <c r="B20" s="10" t="s">
        <v>62</v>
      </c>
      <c r="C20" s="17">
        <v>140.0</v>
      </c>
      <c r="D20" s="18">
        <v>1.850541735585067E11</v>
      </c>
      <c r="E20" s="18">
        <f t="shared" ref="E20:P20" si="5">SUM(E21:E22)</f>
        <v>15421181130</v>
      </c>
      <c r="F20" s="18">
        <f t="shared" si="5"/>
        <v>15421181130</v>
      </c>
      <c r="G20" s="18">
        <f t="shared" si="5"/>
        <v>15421181130</v>
      </c>
      <c r="H20" s="18">
        <f t="shared" si="5"/>
        <v>15421181130</v>
      </c>
      <c r="I20" s="18">
        <f t="shared" si="5"/>
        <v>15421181130</v>
      </c>
      <c r="J20" s="18">
        <f t="shared" si="5"/>
        <v>15421181130</v>
      </c>
      <c r="K20" s="18">
        <f t="shared" si="5"/>
        <v>15421181130</v>
      </c>
      <c r="L20" s="18">
        <f t="shared" si="5"/>
        <v>15421181130</v>
      </c>
      <c r="M20" s="18">
        <f t="shared" si="5"/>
        <v>15421181130</v>
      </c>
      <c r="N20" s="18">
        <f t="shared" si="5"/>
        <v>15421181130</v>
      </c>
      <c r="O20" s="18">
        <f t="shared" si="5"/>
        <v>15421181130</v>
      </c>
      <c r="P20" s="18">
        <f t="shared" si="5"/>
        <v>15421181130</v>
      </c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24">
        <v>141.0</v>
      </c>
      <c r="B21" s="25" t="s">
        <v>64</v>
      </c>
      <c r="C21" s="11">
        <v>141.0</v>
      </c>
      <c r="D21" s="12">
        <v>1.850541735585067E11</v>
      </c>
      <c r="E21" s="12">
        <f t="shared" ref="E21:P21" si="6">$D$21/12</f>
        <v>15421181130</v>
      </c>
      <c r="F21" s="12">
        <f t="shared" si="6"/>
        <v>15421181130</v>
      </c>
      <c r="G21" s="12">
        <f t="shared" si="6"/>
        <v>15421181130</v>
      </c>
      <c r="H21" s="12">
        <f t="shared" si="6"/>
        <v>15421181130</v>
      </c>
      <c r="I21" s="12">
        <f t="shared" si="6"/>
        <v>15421181130</v>
      </c>
      <c r="J21" s="12">
        <f t="shared" si="6"/>
        <v>15421181130</v>
      </c>
      <c r="K21" s="12">
        <f t="shared" si="6"/>
        <v>15421181130</v>
      </c>
      <c r="L21" s="12">
        <f t="shared" si="6"/>
        <v>15421181130</v>
      </c>
      <c r="M21" s="12">
        <f t="shared" si="6"/>
        <v>15421181130</v>
      </c>
      <c r="N21" s="12">
        <f t="shared" si="6"/>
        <v>15421181130</v>
      </c>
      <c r="O21" s="12">
        <f t="shared" si="6"/>
        <v>15421181130</v>
      </c>
      <c r="P21" s="12">
        <f t="shared" si="6"/>
        <v>15421181130</v>
      </c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24">
        <v>149.0</v>
      </c>
      <c r="B22" s="25" t="s">
        <v>67</v>
      </c>
      <c r="C22" s="11">
        <v>142.0</v>
      </c>
      <c r="D22" s="12">
        <v>0.0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>
      <c r="A23" s="9">
        <v>150.0</v>
      </c>
      <c r="B23" s="10" t="s">
        <v>69</v>
      </c>
      <c r="C23" s="17">
        <v>160.0</v>
      </c>
      <c r="D23" s="18">
        <v>6.487924053688431E9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24">
        <v>151.0</v>
      </c>
      <c r="B24" s="25" t="s">
        <v>71</v>
      </c>
      <c r="C24" s="11">
        <v>161.0</v>
      </c>
      <c r="D24" s="12">
        <v>2.237921922E9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>
      <c r="A25" s="24">
        <v>152.0</v>
      </c>
      <c r="B25" s="25" t="s">
        <v>72</v>
      </c>
      <c r="C25" s="11">
        <v>162.0</v>
      </c>
      <c r="D25" s="12">
        <v>4.2500021316884303E9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35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24">
        <v>153.0</v>
      </c>
      <c r="B26" s="25" t="s">
        <v>74</v>
      </c>
      <c r="C26" s="11">
        <v>163.0</v>
      </c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9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24">
        <v>154.0</v>
      </c>
      <c r="B27" s="25" t="s">
        <v>75</v>
      </c>
      <c r="C27" s="38">
        <v>164.0</v>
      </c>
      <c r="D27" s="39">
        <v>0.0</v>
      </c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24">
        <v>155.0</v>
      </c>
      <c r="B28" s="25" t="s">
        <v>76</v>
      </c>
      <c r="C28" s="38">
        <v>165.0</v>
      </c>
      <c r="D28" s="39">
        <v>0.0</v>
      </c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12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>
      <c r="A29" s="9">
        <v>200.0</v>
      </c>
      <c r="B29" s="10" t="s">
        <v>78</v>
      </c>
      <c r="C29" s="17">
        <v>200.0</v>
      </c>
      <c r="D29" s="18">
        <v>8.062564970910392E11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9">
        <v>210.0</v>
      </c>
      <c r="B30" s="10" t="s">
        <v>80</v>
      </c>
      <c r="C30" s="11">
        <v>210.0</v>
      </c>
      <c r="D30" s="12">
        <v>0.0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>
      <c r="A31" s="24">
        <v>211.0</v>
      </c>
      <c r="B31" s="25" t="s">
        <v>81</v>
      </c>
      <c r="C31" s="11"/>
      <c r="D31" s="12">
        <v>0.0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24">
        <v>212.0</v>
      </c>
      <c r="B32" s="25" t="s">
        <v>83</v>
      </c>
      <c r="C32" s="11">
        <v>211.0</v>
      </c>
      <c r="D32" s="12">
        <v>0.0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>
      <c r="A33" s="24">
        <v>213.0</v>
      </c>
      <c r="B33" s="25" t="s">
        <v>84</v>
      </c>
      <c r="C33" s="11">
        <v>212.0</v>
      </c>
      <c r="D33" s="12">
        <v>0.0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24">
        <v>214.0</v>
      </c>
      <c r="B34" s="25" t="s">
        <v>86</v>
      </c>
      <c r="C34" s="11">
        <v>213.0</v>
      </c>
      <c r="D34" s="12">
        <v>0.0</v>
      </c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35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>
      <c r="A35" s="24">
        <v>215.0</v>
      </c>
      <c r="B35" s="25" t="s">
        <v>87</v>
      </c>
      <c r="C35" s="11">
        <v>214.0</v>
      </c>
      <c r="D35" s="35">
        <v>0.0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9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24">
        <v>216.0</v>
      </c>
      <c r="B36" s="25" t="s">
        <v>88</v>
      </c>
      <c r="C36" s="38">
        <v>215.0</v>
      </c>
      <c r="D36" s="39">
        <v>0.0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12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>
      <c r="A37" s="24">
        <v>219.0</v>
      </c>
      <c r="B37" s="25" t="s">
        <v>89</v>
      </c>
      <c r="C37" s="11">
        <v>216.0</v>
      </c>
      <c r="D37" s="39">
        <v>0.0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12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9">
        <v>220.0</v>
      </c>
      <c r="B38" s="10" t="s">
        <v>90</v>
      </c>
      <c r="C38" s="17">
        <v>220.0</v>
      </c>
      <c r="D38" s="18">
        <v>7.666433543222712E11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>
      <c r="A39" s="9">
        <v>221.0</v>
      </c>
      <c r="B39" s="10" t="s">
        <v>93</v>
      </c>
      <c r="C39" s="17">
        <v>221.0</v>
      </c>
      <c r="D39" s="18">
        <v>7.666433543222712E11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24">
        <v>222.0</v>
      </c>
      <c r="B40" s="25" t="s">
        <v>95</v>
      </c>
      <c r="C40" s="11">
        <v>222.0</v>
      </c>
      <c r="D40" s="12">
        <v>8.521171243482712E11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>
      <c r="A41" s="24">
        <v>223.0</v>
      </c>
      <c r="B41" s="25" t="s">
        <v>97</v>
      </c>
      <c r="C41" s="11">
        <v>223.0</v>
      </c>
      <c r="D41" s="12">
        <v>-8.5473770026E10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9">
        <v>224.0</v>
      </c>
      <c r="B42" s="10" t="s">
        <v>98</v>
      </c>
      <c r="C42" s="11">
        <v>224.0</v>
      </c>
      <c r="D42" s="12">
        <v>0.0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35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>
      <c r="A43" s="24">
        <v>225.0</v>
      </c>
      <c r="B43" s="25" t="s">
        <v>95</v>
      </c>
      <c r="C43" s="11">
        <v>225.0</v>
      </c>
      <c r="D43" s="12">
        <v>1.295732682E9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39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24">
        <v>226.0</v>
      </c>
      <c r="B44" s="25" t="s">
        <v>97</v>
      </c>
      <c r="C44" s="11">
        <v>226.0</v>
      </c>
      <c r="D44" s="54">
        <v>-1.295732682E9</v>
      </c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9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>
      <c r="A45" s="9">
        <v>227.0</v>
      </c>
      <c r="B45" s="10" t="s">
        <v>103</v>
      </c>
      <c r="C45" s="11">
        <v>227.0</v>
      </c>
      <c r="D45" s="39">
        <v>0.0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12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24">
        <v>228.0</v>
      </c>
      <c r="B46" s="25" t="s">
        <v>95</v>
      </c>
      <c r="C46" s="11">
        <v>228.0</v>
      </c>
      <c r="D46" s="12">
        <v>2.0E8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12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>
      <c r="A47" s="24">
        <v>229.0</v>
      </c>
      <c r="B47" s="25" t="s">
        <v>97</v>
      </c>
      <c r="C47" s="11">
        <v>229.0</v>
      </c>
      <c r="D47" s="54">
        <v>-2.0E8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9">
        <v>230.0</v>
      </c>
      <c r="B48" s="10" t="s">
        <v>108</v>
      </c>
      <c r="C48" s="17">
        <v>240.0</v>
      </c>
      <c r="D48" s="12">
        <v>0.0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>
      <c r="A49" s="24">
        <v>231.0</v>
      </c>
      <c r="B49" s="25" t="s">
        <v>95</v>
      </c>
      <c r="C49" s="11">
        <v>241.0</v>
      </c>
      <c r="D49" s="12">
        <v>0.0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24">
        <v>232.0</v>
      </c>
      <c r="B50" s="25" t="s">
        <v>97</v>
      </c>
      <c r="C50" s="11">
        <v>242.0</v>
      </c>
      <c r="D50" s="12">
        <v>0.0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>
      <c r="A51" s="9">
        <v>240.0</v>
      </c>
      <c r="B51" s="59" t="s">
        <v>114</v>
      </c>
      <c r="C51" s="11">
        <v>250.0</v>
      </c>
      <c r="D51" s="12">
        <v>0.0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35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24">
        <v>241.0</v>
      </c>
      <c r="B52" s="60" t="s">
        <v>115</v>
      </c>
      <c r="C52" s="11">
        <v>251.0</v>
      </c>
      <c r="D52" s="12">
        <v>0.0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39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>
      <c r="A53" s="24">
        <v>242.0</v>
      </c>
      <c r="B53" s="60" t="s">
        <v>118</v>
      </c>
      <c r="C53" s="11">
        <v>252.0</v>
      </c>
      <c r="D53" s="35">
        <v>0.0</v>
      </c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12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9">
        <v>250.0</v>
      </c>
      <c r="B54" s="59" t="s">
        <v>119</v>
      </c>
      <c r="C54" s="17">
        <v>260.0</v>
      </c>
      <c r="D54" s="18">
        <v>3.46625E10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12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>
      <c r="A55" s="24">
        <v>251.0</v>
      </c>
      <c r="B55" s="60" t="s">
        <v>120</v>
      </c>
      <c r="C55" s="11">
        <v>261.0</v>
      </c>
      <c r="D55" s="39">
        <v>0.0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12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24">
        <v>252.0</v>
      </c>
      <c r="B56" s="60" t="s">
        <v>122</v>
      </c>
      <c r="C56" s="11">
        <v>262.0</v>
      </c>
      <c r="D56" s="12">
        <v>3.46625E10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24">
        <v>253.0</v>
      </c>
      <c r="B57" s="60" t="s">
        <v>123</v>
      </c>
      <c r="C57" s="11">
        <v>263.0</v>
      </c>
      <c r="D57" s="12">
        <v>0.0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24">
        <v>254.0</v>
      </c>
      <c r="B58" s="60" t="s">
        <v>126</v>
      </c>
      <c r="C58" s="11">
        <v>264.0</v>
      </c>
      <c r="D58" s="12">
        <v>0.0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24">
        <v>255.0</v>
      </c>
      <c r="B59" s="60" t="s">
        <v>127</v>
      </c>
      <c r="C59" s="11">
        <v>265.0</v>
      </c>
      <c r="D59" s="12">
        <v>0.0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35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9">
        <v>260.0</v>
      </c>
      <c r="B60" s="59" t="s">
        <v>128</v>
      </c>
      <c r="C60" s="17">
        <v>270.0</v>
      </c>
      <c r="D60" s="18">
        <v>4.950642768767962E9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39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24">
        <v>261.0</v>
      </c>
      <c r="B61" s="60" t="s">
        <v>129</v>
      </c>
      <c r="C61" s="11">
        <v>271.0</v>
      </c>
      <c r="D61" s="12">
        <v>4.950642768767962E9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39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24">
        <v>262.0</v>
      </c>
      <c r="B62" s="60" t="s">
        <v>130</v>
      </c>
      <c r="C62" s="11">
        <v>272.0</v>
      </c>
      <c r="D62" s="35">
        <v>0.0</v>
      </c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12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24">
        <v>263.0</v>
      </c>
      <c r="B63" s="60" t="s">
        <v>132</v>
      </c>
      <c r="C63" s="11">
        <v>273.0</v>
      </c>
      <c r="D63" s="39">
        <v>0.0</v>
      </c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12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24">
        <v>268.0</v>
      </c>
      <c r="B64" s="60" t="s">
        <v>133</v>
      </c>
      <c r="C64" s="11">
        <v>274.0</v>
      </c>
      <c r="D64" s="39">
        <v>0.0</v>
      </c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12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24">
        <v>264.0</v>
      </c>
      <c r="B65" s="60" t="s">
        <v>135</v>
      </c>
      <c r="C65" s="11"/>
      <c r="D65" s="12">
        <v>0.0</v>
      </c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24">
        <v>269.0</v>
      </c>
      <c r="B66" s="60" t="s">
        <v>136</v>
      </c>
      <c r="C66" s="11"/>
      <c r="D66" s="12">
        <v>0.0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9">
        <v>270.0</v>
      </c>
      <c r="B67" s="59" t="s">
        <v>139</v>
      </c>
      <c r="C67" s="17">
        <v>280.0</v>
      </c>
      <c r="D67" s="18">
        <v>1.5098838055096194E12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9">
        <v>300.0</v>
      </c>
      <c r="B68" s="59" t="s">
        <v>140</v>
      </c>
      <c r="C68" s="17">
        <v>300.0</v>
      </c>
      <c r="D68" s="18">
        <v>1.0373897211718708E12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35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9">
        <v>310.0</v>
      </c>
      <c r="B69" s="59" t="s">
        <v>142</v>
      </c>
      <c r="C69" s="17">
        <v>310.0</v>
      </c>
      <c r="D69" s="18">
        <v>5.782177874525809E11</v>
      </c>
      <c r="E69" s="18">
        <f t="shared" ref="E69:P69" si="7">SUM(E70:E83)</f>
        <v>48184815621</v>
      </c>
      <c r="F69" s="18">
        <f t="shared" si="7"/>
        <v>48184815621</v>
      </c>
      <c r="G69" s="18">
        <f t="shared" si="7"/>
        <v>48184815621</v>
      </c>
      <c r="H69" s="18">
        <f t="shared" si="7"/>
        <v>48184815621</v>
      </c>
      <c r="I69" s="18">
        <f t="shared" si="7"/>
        <v>48184815621</v>
      </c>
      <c r="J69" s="18">
        <f t="shared" si="7"/>
        <v>48184815621</v>
      </c>
      <c r="K69" s="18">
        <f t="shared" si="7"/>
        <v>48184815621</v>
      </c>
      <c r="L69" s="18">
        <f t="shared" si="7"/>
        <v>48184815621</v>
      </c>
      <c r="M69" s="18">
        <f t="shared" si="7"/>
        <v>48184815621</v>
      </c>
      <c r="N69" s="18">
        <f t="shared" si="7"/>
        <v>48184815621</v>
      </c>
      <c r="O69" s="18">
        <f t="shared" si="7"/>
        <v>48184815621</v>
      </c>
      <c r="P69" s="18">
        <f t="shared" si="7"/>
        <v>48184815621</v>
      </c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24">
        <v>311.0</v>
      </c>
      <c r="B70" s="60" t="s">
        <v>144</v>
      </c>
      <c r="C70" s="11">
        <v>311.0</v>
      </c>
      <c r="D70" s="12">
        <v>8.87687350860275E10</v>
      </c>
      <c r="E70" s="12">
        <f t="shared" ref="E70:P70" si="8">$D70/12</f>
        <v>7397394591</v>
      </c>
      <c r="F70" s="12">
        <f t="shared" si="8"/>
        <v>7397394591</v>
      </c>
      <c r="G70" s="12">
        <f t="shared" si="8"/>
        <v>7397394591</v>
      </c>
      <c r="H70" s="12">
        <f t="shared" si="8"/>
        <v>7397394591</v>
      </c>
      <c r="I70" s="12">
        <f t="shared" si="8"/>
        <v>7397394591</v>
      </c>
      <c r="J70" s="12">
        <f t="shared" si="8"/>
        <v>7397394591</v>
      </c>
      <c r="K70" s="12">
        <f t="shared" si="8"/>
        <v>7397394591</v>
      </c>
      <c r="L70" s="12">
        <f t="shared" si="8"/>
        <v>7397394591</v>
      </c>
      <c r="M70" s="12">
        <f t="shared" si="8"/>
        <v>7397394591</v>
      </c>
      <c r="N70" s="12">
        <f t="shared" si="8"/>
        <v>7397394591</v>
      </c>
      <c r="O70" s="12">
        <f t="shared" si="8"/>
        <v>7397394591</v>
      </c>
      <c r="P70" s="12">
        <f t="shared" si="8"/>
        <v>7397394591</v>
      </c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24">
        <v>312.0</v>
      </c>
      <c r="B71" s="60" t="s">
        <v>146</v>
      </c>
      <c r="C71" s="11">
        <v>312.0</v>
      </c>
      <c r="D71" s="46">
        <v>1.1577908916717053E11</v>
      </c>
      <c r="E71" s="12">
        <f t="shared" ref="E71:P71" si="9">$D71/12</f>
        <v>9648257431</v>
      </c>
      <c r="F71" s="12">
        <f t="shared" si="9"/>
        <v>9648257431</v>
      </c>
      <c r="G71" s="12">
        <f t="shared" si="9"/>
        <v>9648257431</v>
      </c>
      <c r="H71" s="12">
        <f t="shared" si="9"/>
        <v>9648257431</v>
      </c>
      <c r="I71" s="12">
        <f t="shared" si="9"/>
        <v>9648257431</v>
      </c>
      <c r="J71" s="12">
        <f t="shared" si="9"/>
        <v>9648257431</v>
      </c>
      <c r="K71" s="12">
        <f t="shared" si="9"/>
        <v>9648257431</v>
      </c>
      <c r="L71" s="12">
        <f t="shared" si="9"/>
        <v>9648257431</v>
      </c>
      <c r="M71" s="12">
        <f t="shared" si="9"/>
        <v>9648257431</v>
      </c>
      <c r="N71" s="12">
        <f t="shared" si="9"/>
        <v>9648257431</v>
      </c>
      <c r="O71" s="12">
        <f t="shared" si="9"/>
        <v>9648257431</v>
      </c>
      <c r="P71" s="12">
        <f t="shared" si="9"/>
        <v>9648257431</v>
      </c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24">
        <v>313.0</v>
      </c>
      <c r="B72" s="60" t="s">
        <v>148</v>
      </c>
      <c r="C72" s="11">
        <v>314.0</v>
      </c>
      <c r="D72" s="46">
        <v>8.208943923491296E9</v>
      </c>
      <c r="E72" s="12">
        <f t="shared" ref="E72:P72" si="10">$D72/12</f>
        <v>684078660.3</v>
      </c>
      <c r="F72" s="12">
        <f t="shared" si="10"/>
        <v>684078660.3</v>
      </c>
      <c r="G72" s="12">
        <f t="shared" si="10"/>
        <v>684078660.3</v>
      </c>
      <c r="H72" s="12">
        <f t="shared" si="10"/>
        <v>684078660.3</v>
      </c>
      <c r="I72" s="12">
        <f t="shared" si="10"/>
        <v>684078660.3</v>
      </c>
      <c r="J72" s="12">
        <f t="shared" si="10"/>
        <v>684078660.3</v>
      </c>
      <c r="K72" s="12">
        <f t="shared" si="10"/>
        <v>684078660.3</v>
      </c>
      <c r="L72" s="12">
        <f t="shared" si="10"/>
        <v>684078660.3</v>
      </c>
      <c r="M72" s="12">
        <f t="shared" si="10"/>
        <v>684078660.3</v>
      </c>
      <c r="N72" s="12">
        <f t="shared" si="10"/>
        <v>684078660.3</v>
      </c>
      <c r="O72" s="12">
        <f t="shared" si="10"/>
        <v>684078660.3</v>
      </c>
      <c r="P72" s="12">
        <f t="shared" si="10"/>
        <v>684078660.3</v>
      </c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24">
        <v>314.0</v>
      </c>
      <c r="B73" s="60" t="s">
        <v>149</v>
      </c>
      <c r="C73" s="11">
        <v>315.0</v>
      </c>
      <c r="D73" s="46">
        <v>1.2971284137829489E10</v>
      </c>
      <c r="E73" s="12">
        <f t="shared" ref="E73:P73" si="11">$D73/12</f>
        <v>1080940345</v>
      </c>
      <c r="F73" s="12">
        <f t="shared" si="11"/>
        <v>1080940345</v>
      </c>
      <c r="G73" s="12">
        <f t="shared" si="11"/>
        <v>1080940345</v>
      </c>
      <c r="H73" s="12">
        <f t="shared" si="11"/>
        <v>1080940345</v>
      </c>
      <c r="I73" s="12">
        <f t="shared" si="11"/>
        <v>1080940345</v>
      </c>
      <c r="J73" s="12">
        <f t="shared" si="11"/>
        <v>1080940345</v>
      </c>
      <c r="K73" s="12">
        <f t="shared" si="11"/>
        <v>1080940345</v>
      </c>
      <c r="L73" s="12">
        <f t="shared" si="11"/>
        <v>1080940345</v>
      </c>
      <c r="M73" s="12">
        <f t="shared" si="11"/>
        <v>1080940345</v>
      </c>
      <c r="N73" s="12">
        <f t="shared" si="11"/>
        <v>1080940345</v>
      </c>
      <c r="O73" s="12">
        <f t="shared" si="11"/>
        <v>1080940345</v>
      </c>
      <c r="P73" s="12">
        <f t="shared" si="11"/>
        <v>1080940345</v>
      </c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24">
        <v>315.0</v>
      </c>
      <c r="B74" s="60" t="s">
        <v>152</v>
      </c>
      <c r="C74" s="11">
        <v>316.0</v>
      </c>
      <c r="D74" s="12">
        <v>1.0528518144552386E8</v>
      </c>
      <c r="E74" s="12">
        <f t="shared" ref="E74:P74" si="12">$D74/12</f>
        <v>8773765.12</v>
      </c>
      <c r="F74" s="12">
        <f t="shared" si="12"/>
        <v>8773765.12</v>
      </c>
      <c r="G74" s="12">
        <f t="shared" si="12"/>
        <v>8773765.12</v>
      </c>
      <c r="H74" s="12">
        <f t="shared" si="12"/>
        <v>8773765.12</v>
      </c>
      <c r="I74" s="12">
        <f t="shared" si="12"/>
        <v>8773765.12</v>
      </c>
      <c r="J74" s="12">
        <f t="shared" si="12"/>
        <v>8773765.12</v>
      </c>
      <c r="K74" s="12">
        <f t="shared" si="12"/>
        <v>8773765.12</v>
      </c>
      <c r="L74" s="12">
        <f t="shared" si="12"/>
        <v>8773765.12</v>
      </c>
      <c r="M74" s="12">
        <f t="shared" si="12"/>
        <v>8773765.12</v>
      </c>
      <c r="N74" s="12">
        <f t="shared" si="12"/>
        <v>8773765.12</v>
      </c>
      <c r="O74" s="12">
        <f t="shared" si="12"/>
        <v>8773765.12</v>
      </c>
      <c r="P74" s="12">
        <f t="shared" si="12"/>
        <v>8773765.12</v>
      </c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24">
        <v>316.0</v>
      </c>
      <c r="B75" s="60" t="s">
        <v>155</v>
      </c>
      <c r="C75" s="11">
        <v>317.0</v>
      </c>
      <c r="D75" s="12">
        <v>3.375242097E9</v>
      </c>
      <c r="E75" s="12">
        <f t="shared" ref="E75:P75" si="13">$D75/12</f>
        <v>281270174.8</v>
      </c>
      <c r="F75" s="12">
        <f t="shared" si="13"/>
        <v>281270174.8</v>
      </c>
      <c r="G75" s="12">
        <f t="shared" si="13"/>
        <v>281270174.8</v>
      </c>
      <c r="H75" s="12">
        <f t="shared" si="13"/>
        <v>281270174.8</v>
      </c>
      <c r="I75" s="12">
        <f t="shared" si="13"/>
        <v>281270174.8</v>
      </c>
      <c r="J75" s="12">
        <f t="shared" si="13"/>
        <v>281270174.8</v>
      </c>
      <c r="K75" s="12">
        <f t="shared" si="13"/>
        <v>281270174.8</v>
      </c>
      <c r="L75" s="12">
        <f t="shared" si="13"/>
        <v>281270174.8</v>
      </c>
      <c r="M75" s="12">
        <f t="shared" si="13"/>
        <v>281270174.8</v>
      </c>
      <c r="N75" s="12">
        <f t="shared" si="13"/>
        <v>281270174.8</v>
      </c>
      <c r="O75" s="12">
        <f t="shared" si="13"/>
        <v>281270174.8</v>
      </c>
      <c r="P75" s="12">
        <f t="shared" si="13"/>
        <v>281270174.8</v>
      </c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24">
        <v>317.0</v>
      </c>
      <c r="B76" s="60" t="s">
        <v>158</v>
      </c>
      <c r="C76" s="11">
        <v>318.0</v>
      </c>
      <c r="D76" s="12">
        <v>0.0</v>
      </c>
      <c r="E76" s="12">
        <f t="shared" ref="E76:P76" si="14">$D76/12</f>
        <v>0</v>
      </c>
      <c r="F76" s="12">
        <f t="shared" si="14"/>
        <v>0</v>
      </c>
      <c r="G76" s="12">
        <f t="shared" si="14"/>
        <v>0</v>
      </c>
      <c r="H76" s="12">
        <f t="shared" si="14"/>
        <v>0</v>
      </c>
      <c r="I76" s="12">
        <f t="shared" si="14"/>
        <v>0</v>
      </c>
      <c r="J76" s="12">
        <f t="shared" si="14"/>
        <v>0</v>
      </c>
      <c r="K76" s="12">
        <f t="shared" si="14"/>
        <v>0</v>
      </c>
      <c r="L76" s="12">
        <f t="shared" si="14"/>
        <v>0</v>
      </c>
      <c r="M76" s="12">
        <f t="shared" si="14"/>
        <v>0</v>
      </c>
      <c r="N76" s="12">
        <f t="shared" si="14"/>
        <v>0</v>
      </c>
      <c r="O76" s="12">
        <f t="shared" si="14"/>
        <v>0</v>
      </c>
      <c r="P76" s="12">
        <f t="shared" si="14"/>
        <v>0</v>
      </c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24">
        <v>318.0</v>
      </c>
      <c r="B77" s="60" t="s">
        <v>159</v>
      </c>
      <c r="C77" s="11">
        <v>319.0</v>
      </c>
      <c r="D77" s="12">
        <v>0.0</v>
      </c>
      <c r="E77" s="12">
        <f t="shared" ref="E77:P77" si="15">$D77/12</f>
        <v>0</v>
      </c>
      <c r="F77" s="12">
        <f t="shared" si="15"/>
        <v>0</v>
      </c>
      <c r="G77" s="12">
        <f t="shared" si="15"/>
        <v>0</v>
      </c>
      <c r="H77" s="12">
        <f t="shared" si="15"/>
        <v>0</v>
      </c>
      <c r="I77" s="12">
        <f t="shared" si="15"/>
        <v>0</v>
      </c>
      <c r="J77" s="12">
        <f t="shared" si="15"/>
        <v>0</v>
      </c>
      <c r="K77" s="12">
        <f t="shared" si="15"/>
        <v>0</v>
      </c>
      <c r="L77" s="12">
        <f t="shared" si="15"/>
        <v>0</v>
      </c>
      <c r="M77" s="12">
        <f t="shared" si="15"/>
        <v>0</v>
      </c>
      <c r="N77" s="12">
        <f t="shared" si="15"/>
        <v>0</v>
      </c>
      <c r="O77" s="12">
        <f t="shared" si="15"/>
        <v>0</v>
      </c>
      <c r="P77" s="12">
        <f t="shared" si="15"/>
        <v>0</v>
      </c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24">
        <v>319.0</v>
      </c>
      <c r="B78" s="60" t="s">
        <v>160</v>
      </c>
      <c r="C78" s="11">
        <v>320.0</v>
      </c>
      <c r="D78" s="12">
        <v>0.0</v>
      </c>
      <c r="E78" s="12">
        <f t="shared" ref="E78:P78" si="16">$D78/12</f>
        <v>0</v>
      </c>
      <c r="F78" s="12">
        <f t="shared" si="16"/>
        <v>0</v>
      </c>
      <c r="G78" s="12">
        <f t="shared" si="16"/>
        <v>0</v>
      </c>
      <c r="H78" s="12">
        <f t="shared" si="16"/>
        <v>0</v>
      </c>
      <c r="I78" s="12">
        <f t="shared" si="16"/>
        <v>0</v>
      </c>
      <c r="J78" s="12">
        <f t="shared" si="16"/>
        <v>0</v>
      </c>
      <c r="K78" s="12">
        <f t="shared" si="16"/>
        <v>0</v>
      </c>
      <c r="L78" s="12">
        <f t="shared" si="16"/>
        <v>0</v>
      </c>
      <c r="M78" s="12">
        <f t="shared" si="16"/>
        <v>0</v>
      </c>
      <c r="N78" s="12">
        <f t="shared" si="16"/>
        <v>0</v>
      </c>
      <c r="O78" s="12">
        <f t="shared" si="16"/>
        <v>0</v>
      </c>
      <c r="P78" s="12">
        <f t="shared" si="16"/>
        <v>0</v>
      </c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24">
        <v>320.0</v>
      </c>
      <c r="B79" s="60" t="s">
        <v>163</v>
      </c>
      <c r="C79" s="11">
        <v>321.0</v>
      </c>
      <c r="D79" s="12">
        <v>3.490092078596166E11</v>
      </c>
      <c r="E79" s="12">
        <f t="shared" ref="E79:P79" si="17">$D79/12</f>
        <v>29084100655</v>
      </c>
      <c r="F79" s="12">
        <f t="shared" si="17"/>
        <v>29084100655</v>
      </c>
      <c r="G79" s="12">
        <f t="shared" si="17"/>
        <v>29084100655</v>
      </c>
      <c r="H79" s="12">
        <f t="shared" si="17"/>
        <v>29084100655</v>
      </c>
      <c r="I79" s="12">
        <f t="shared" si="17"/>
        <v>29084100655</v>
      </c>
      <c r="J79" s="12">
        <f t="shared" si="17"/>
        <v>29084100655</v>
      </c>
      <c r="K79" s="12">
        <f t="shared" si="17"/>
        <v>29084100655</v>
      </c>
      <c r="L79" s="12">
        <f t="shared" si="17"/>
        <v>29084100655</v>
      </c>
      <c r="M79" s="12">
        <f t="shared" si="17"/>
        <v>29084100655</v>
      </c>
      <c r="N79" s="12">
        <f t="shared" si="17"/>
        <v>29084100655</v>
      </c>
      <c r="O79" s="12">
        <f t="shared" si="17"/>
        <v>29084100655</v>
      </c>
      <c r="P79" s="12">
        <f t="shared" si="17"/>
        <v>29084100655</v>
      </c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24">
        <v>321.0</v>
      </c>
      <c r="B80" s="60" t="s">
        <v>164</v>
      </c>
      <c r="C80" s="11">
        <v>322.0</v>
      </c>
      <c r="D80" s="35">
        <v>0.0</v>
      </c>
      <c r="E80" s="12">
        <f t="shared" ref="E80:P80" si="18">$D80/12</f>
        <v>0</v>
      </c>
      <c r="F80" s="12">
        <f t="shared" si="18"/>
        <v>0</v>
      </c>
      <c r="G80" s="12">
        <f t="shared" si="18"/>
        <v>0</v>
      </c>
      <c r="H80" s="12">
        <f t="shared" si="18"/>
        <v>0</v>
      </c>
      <c r="I80" s="12">
        <f t="shared" si="18"/>
        <v>0</v>
      </c>
      <c r="J80" s="12">
        <f t="shared" si="18"/>
        <v>0</v>
      </c>
      <c r="K80" s="12">
        <f t="shared" si="18"/>
        <v>0</v>
      </c>
      <c r="L80" s="12">
        <f t="shared" si="18"/>
        <v>0</v>
      </c>
      <c r="M80" s="12">
        <f t="shared" si="18"/>
        <v>0</v>
      </c>
      <c r="N80" s="12">
        <f t="shared" si="18"/>
        <v>0</v>
      </c>
      <c r="O80" s="12">
        <f t="shared" si="18"/>
        <v>0</v>
      </c>
      <c r="P80" s="12">
        <f t="shared" si="18"/>
        <v>0</v>
      </c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24">
        <v>322.0</v>
      </c>
      <c r="B81" s="60" t="s">
        <v>165</v>
      </c>
      <c r="C81" s="11">
        <v>323.0</v>
      </c>
      <c r="D81" s="39">
        <v>0.0</v>
      </c>
      <c r="E81" s="12">
        <f t="shared" ref="E81:P81" si="19">$D81/12</f>
        <v>0</v>
      </c>
      <c r="F81" s="12">
        <f t="shared" si="19"/>
        <v>0</v>
      </c>
      <c r="G81" s="12">
        <f t="shared" si="19"/>
        <v>0</v>
      </c>
      <c r="H81" s="12">
        <f t="shared" si="19"/>
        <v>0</v>
      </c>
      <c r="I81" s="12">
        <f t="shared" si="19"/>
        <v>0</v>
      </c>
      <c r="J81" s="12">
        <f t="shared" si="19"/>
        <v>0</v>
      </c>
      <c r="K81" s="12">
        <f t="shared" si="19"/>
        <v>0</v>
      </c>
      <c r="L81" s="12">
        <f t="shared" si="19"/>
        <v>0</v>
      </c>
      <c r="M81" s="12">
        <f t="shared" si="19"/>
        <v>0</v>
      </c>
      <c r="N81" s="12">
        <f t="shared" si="19"/>
        <v>0</v>
      </c>
      <c r="O81" s="12">
        <f t="shared" si="19"/>
        <v>0</v>
      </c>
      <c r="P81" s="12">
        <f t="shared" si="19"/>
        <v>0</v>
      </c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24">
        <v>323.0</v>
      </c>
      <c r="B82" s="60" t="s">
        <v>166</v>
      </c>
      <c r="C82" s="11">
        <v>324.0</v>
      </c>
      <c r="D82" s="39">
        <v>0.0</v>
      </c>
      <c r="E82" s="12">
        <f t="shared" ref="E82:P82" si="20">$D82/12</f>
        <v>0</v>
      </c>
      <c r="F82" s="12">
        <f t="shared" si="20"/>
        <v>0</v>
      </c>
      <c r="G82" s="12">
        <f t="shared" si="20"/>
        <v>0</v>
      </c>
      <c r="H82" s="12">
        <f t="shared" si="20"/>
        <v>0</v>
      </c>
      <c r="I82" s="12">
        <f t="shared" si="20"/>
        <v>0</v>
      </c>
      <c r="J82" s="12">
        <f t="shared" si="20"/>
        <v>0</v>
      </c>
      <c r="K82" s="12">
        <f t="shared" si="20"/>
        <v>0</v>
      </c>
      <c r="L82" s="12">
        <f t="shared" si="20"/>
        <v>0</v>
      </c>
      <c r="M82" s="12">
        <f t="shared" si="20"/>
        <v>0</v>
      </c>
      <c r="N82" s="12">
        <f t="shared" si="20"/>
        <v>0</v>
      </c>
      <c r="O82" s="12">
        <f t="shared" si="20"/>
        <v>0</v>
      </c>
      <c r="P82" s="12">
        <f t="shared" si="20"/>
        <v>0</v>
      </c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24">
        <v>324.0</v>
      </c>
      <c r="B83" s="60" t="s">
        <v>167</v>
      </c>
      <c r="C83" s="11">
        <v>325.0</v>
      </c>
      <c r="D83" s="12">
        <v>0.0</v>
      </c>
      <c r="E83" s="12">
        <f t="shared" ref="E83:P83" si="21">$D83/12</f>
        <v>0</v>
      </c>
      <c r="F83" s="12">
        <f t="shared" si="21"/>
        <v>0</v>
      </c>
      <c r="G83" s="12">
        <f t="shared" si="21"/>
        <v>0</v>
      </c>
      <c r="H83" s="12">
        <f t="shared" si="21"/>
        <v>0</v>
      </c>
      <c r="I83" s="12">
        <f t="shared" si="21"/>
        <v>0</v>
      </c>
      <c r="J83" s="12">
        <f t="shared" si="21"/>
        <v>0</v>
      </c>
      <c r="K83" s="12">
        <f t="shared" si="21"/>
        <v>0</v>
      </c>
      <c r="L83" s="12">
        <f t="shared" si="21"/>
        <v>0</v>
      </c>
      <c r="M83" s="12">
        <f t="shared" si="21"/>
        <v>0</v>
      </c>
      <c r="N83" s="12">
        <f t="shared" si="21"/>
        <v>0</v>
      </c>
      <c r="O83" s="12">
        <f t="shared" si="21"/>
        <v>0</v>
      </c>
      <c r="P83" s="12">
        <f t="shared" si="21"/>
        <v>0</v>
      </c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9">
        <v>330.0</v>
      </c>
      <c r="B84" s="59" t="s">
        <v>168</v>
      </c>
      <c r="C84" s="17">
        <v>330.0</v>
      </c>
      <c r="D84" s="18">
        <v>4.5917193371928986E11</v>
      </c>
      <c r="E84" s="18">
        <f t="shared" ref="E84:P84" si="22">SUM(E85:E97)</f>
        <v>0</v>
      </c>
      <c r="F84" s="18">
        <f t="shared" si="22"/>
        <v>0</v>
      </c>
      <c r="G84" s="18">
        <f t="shared" si="22"/>
        <v>0</v>
      </c>
      <c r="H84" s="18">
        <f t="shared" si="22"/>
        <v>0</v>
      </c>
      <c r="I84" s="18">
        <f t="shared" si="22"/>
        <v>0</v>
      </c>
      <c r="J84" s="18">
        <f t="shared" si="22"/>
        <v>0</v>
      </c>
      <c r="K84" s="18">
        <f t="shared" si="22"/>
        <v>459171933719</v>
      </c>
      <c r="L84" s="18">
        <f t="shared" si="22"/>
        <v>0</v>
      </c>
      <c r="M84" s="18">
        <f t="shared" si="22"/>
        <v>0</v>
      </c>
      <c r="N84" s="18">
        <f t="shared" si="22"/>
        <v>0</v>
      </c>
      <c r="O84" s="18">
        <f t="shared" si="22"/>
        <v>0</v>
      </c>
      <c r="P84" s="18">
        <f t="shared" si="22"/>
        <v>0</v>
      </c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24">
        <v>331.0</v>
      </c>
      <c r="B85" s="60" t="s">
        <v>169</v>
      </c>
      <c r="C85" s="11">
        <v>331.0</v>
      </c>
      <c r="D85" s="12">
        <v>0.0</v>
      </c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35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24">
        <v>332.0</v>
      </c>
      <c r="B86" s="60" t="s">
        <v>170</v>
      </c>
      <c r="C86" s="11">
        <v>332.0</v>
      </c>
      <c r="D86" s="12">
        <v>0.0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39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24">
        <v>333.0</v>
      </c>
      <c r="B87" s="60" t="s">
        <v>171</v>
      </c>
      <c r="C87" s="11">
        <v>334.0</v>
      </c>
      <c r="D87" s="12">
        <v>0.0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24">
        <v>334.0</v>
      </c>
      <c r="B88" s="60" t="s">
        <v>172</v>
      </c>
      <c r="C88" s="11">
        <v>335.0</v>
      </c>
      <c r="D88" s="12">
        <v>0.0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24">
        <v>335.0</v>
      </c>
      <c r="B89" s="60" t="s">
        <v>174</v>
      </c>
      <c r="C89" s="11">
        <v>336.0</v>
      </c>
      <c r="D89" s="35">
        <v>0.0</v>
      </c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12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24">
        <v>336.0</v>
      </c>
      <c r="B90" s="60" t="s">
        <v>175</v>
      </c>
      <c r="C90" s="11">
        <v>337.0</v>
      </c>
      <c r="D90" s="39">
        <v>0.0</v>
      </c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12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24">
        <v>337.0</v>
      </c>
      <c r="B91" s="60" t="s">
        <v>176</v>
      </c>
      <c r="C91" s="11">
        <v>338.0</v>
      </c>
      <c r="D91" s="39">
        <v>0.0</v>
      </c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12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24">
        <v>338.0</v>
      </c>
      <c r="B92" s="60" t="s">
        <v>177</v>
      </c>
      <c r="C92" s="11">
        <v>339.0</v>
      </c>
      <c r="D92" s="12">
        <v>4.5917193371928986E11</v>
      </c>
      <c r="E92" s="12"/>
      <c r="F92" s="12"/>
      <c r="G92" s="12"/>
      <c r="H92" s="12"/>
      <c r="I92" s="12"/>
      <c r="J92" s="12"/>
      <c r="K92" s="12">
        <f>D92</f>
        <v>459171933719</v>
      </c>
      <c r="L92" s="12"/>
      <c r="M92" s="12"/>
      <c r="N92" s="12"/>
      <c r="O92" s="12"/>
      <c r="P92" s="12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24">
        <v>339.0</v>
      </c>
      <c r="B93" s="60" t="s">
        <v>178</v>
      </c>
      <c r="C93" s="11">
        <v>340.0</v>
      </c>
      <c r="D93" s="12">
        <v>0.0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35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24">
        <v>340.0</v>
      </c>
      <c r="B94" s="60" t="s">
        <v>180</v>
      </c>
      <c r="C94" s="11">
        <v>341.0</v>
      </c>
      <c r="D94" s="12">
        <v>0.0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39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24">
        <v>341.0</v>
      </c>
      <c r="B95" s="60" t="s">
        <v>181</v>
      </c>
      <c r="C95" s="11">
        <v>342.0</v>
      </c>
      <c r="D95" s="12">
        <v>0.0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39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24">
        <v>342.0</v>
      </c>
      <c r="B96" s="60" t="s">
        <v>182</v>
      </c>
      <c r="C96" s="11">
        <v>343.0</v>
      </c>
      <c r="D96" s="12">
        <v>0.0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24">
        <v>343.0</v>
      </c>
      <c r="B97" s="60" t="s">
        <v>183</v>
      </c>
      <c r="C97" s="11">
        <v>344.0</v>
      </c>
      <c r="D97" s="12">
        <v>0.0</v>
      </c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9">
        <v>400.0</v>
      </c>
      <c r="B98" s="59" t="s">
        <v>184</v>
      </c>
      <c r="C98" s="17">
        <v>400.0</v>
      </c>
      <c r="D98" s="92">
        <v>4.7249408433774854E11</v>
      </c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12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9">
        <v>410.0</v>
      </c>
      <c r="B99" s="59" t="s">
        <v>187</v>
      </c>
      <c r="C99" s="17">
        <v>411.0</v>
      </c>
      <c r="D99" s="92">
        <v>4.7249408433774854E11</v>
      </c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12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24">
        <v>411.0</v>
      </c>
      <c r="B100" s="60" t="s">
        <v>189</v>
      </c>
      <c r="C100" s="11">
        <v>411.0</v>
      </c>
      <c r="D100" s="46">
        <v>3.868812595939813E11</v>
      </c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12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100" t="s">
        <v>191</v>
      </c>
      <c r="B101" s="102" t="s">
        <v>192</v>
      </c>
      <c r="C101" s="11" t="s">
        <v>191</v>
      </c>
      <c r="D101" s="39">
        <v>3.868812595939813E11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100" t="s">
        <v>196</v>
      </c>
      <c r="B102" s="102" t="s">
        <v>197</v>
      </c>
      <c r="C102" s="11" t="s">
        <v>196</v>
      </c>
      <c r="D102" s="12">
        <v>0.0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35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24">
        <v>412.0</v>
      </c>
      <c r="B103" s="60" t="s">
        <v>200</v>
      </c>
      <c r="C103" s="11">
        <v>412.0</v>
      </c>
      <c r="D103" s="12">
        <v>0.0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39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24">
        <v>413.0</v>
      </c>
      <c r="B104" s="60" t="s">
        <v>201</v>
      </c>
      <c r="C104" s="11">
        <v>413.0</v>
      </c>
      <c r="D104" s="12">
        <v>0.0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24">
        <v>414.0</v>
      </c>
      <c r="B105" s="60" t="s">
        <v>203</v>
      </c>
      <c r="C105" s="11">
        <v>414.0</v>
      </c>
      <c r="D105" s="12">
        <v>0.0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24">
        <v>415.0</v>
      </c>
      <c r="B106" s="60" t="s">
        <v>206</v>
      </c>
      <c r="C106" s="11">
        <v>415.0</v>
      </c>
      <c r="D106" s="12">
        <v>0.0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24">
        <v>416.0</v>
      </c>
      <c r="B107" s="60" t="s">
        <v>208</v>
      </c>
      <c r="C107" s="11">
        <v>416.0</v>
      </c>
      <c r="D107" s="12">
        <v>1.44855921E8</v>
      </c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12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24">
        <v>417.0</v>
      </c>
      <c r="B108" s="60" t="s">
        <v>211</v>
      </c>
      <c r="C108" s="11">
        <v>417.0</v>
      </c>
      <c r="D108" s="39">
        <v>0.0</v>
      </c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12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24">
        <v>418.0</v>
      </c>
      <c r="B109" s="60" t="s">
        <v>214</v>
      </c>
      <c r="C109" s="11">
        <v>418.0</v>
      </c>
      <c r="D109" s="39">
        <v>0.0</v>
      </c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12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24">
        <v>419.0</v>
      </c>
      <c r="B110" s="60" t="s">
        <v>216</v>
      </c>
      <c r="C110" s="11"/>
      <c r="D110" s="12">
        <v>0.0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35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24">
        <v>420.0</v>
      </c>
      <c r="B111" s="60" t="s">
        <v>217</v>
      </c>
      <c r="C111" s="11">
        <v>419.0</v>
      </c>
      <c r="D111" s="12">
        <v>0.0</v>
      </c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39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9">
        <v>421.0</v>
      </c>
      <c r="B112" s="59" t="s">
        <v>221</v>
      </c>
      <c r="C112" s="17">
        <v>420.0</v>
      </c>
      <c r="D112" s="18">
        <v>8.546796882276724E10</v>
      </c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39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100" t="s">
        <v>232</v>
      </c>
      <c r="B113" s="102" t="s">
        <v>233</v>
      </c>
      <c r="C113" s="11" t="s">
        <v>234</v>
      </c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100" t="s">
        <v>241</v>
      </c>
      <c r="B114" s="102" t="s">
        <v>242</v>
      </c>
      <c r="C114" s="11" t="s">
        <v>244</v>
      </c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24">
        <v>422.0</v>
      </c>
      <c r="B115" s="60" t="s">
        <v>250</v>
      </c>
      <c r="C115" s="11"/>
      <c r="D115" s="12">
        <v>0.0</v>
      </c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24">
        <v>423.0</v>
      </c>
      <c r="B116" s="60" t="s">
        <v>251</v>
      </c>
      <c r="C116" s="33"/>
      <c r="D116" s="35">
        <v>0.0</v>
      </c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12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9">
        <v>430.0</v>
      </c>
      <c r="B117" s="59" t="s">
        <v>252</v>
      </c>
      <c r="C117" s="38"/>
      <c r="D117" s="39">
        <v>0.0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12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24">
        <v>431.0</v>
      </c>
      <c r="B118" s="60" t="s">
        <v>253</v>
      </c>
      <c r="C118" s="38"/>
      <c r="D118" s="39">
        <v>0.0</v>
      </c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12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24">
        <v>432.0</v>
      </c>
      <c r="B119" s="60" t="s">
        <v>254</v>
      </c>
      <c r="C119" s="38"/>
      <c r="D119" s="39">
        <v>0.0</v>
      </c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12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130">
        <v>440.0</v>
      </c>
      <c r="B120" s="131" t="s">
        <v>265</v>
      </c>
      <c r="C120" s="132">
        <v>440.0</v>
      </c>
      <c r="D120" s="133">
        <v>1.5098838055096194E12</v>
      </c>
      <c r="E120" s="74"/>
      <c r="F120" s="134"/>
      <c r="G120" s="74"/>
      <c r="H120" s="134"/>
      <c r="I120" s="74"/>
      <c r="J120" s="134"/>
      <c r="K120" s="74"/>
      <c r="L120" s="134"/>
      <c r="M120" s="74"/>
      <c r="N120" s="134"/>
      <c r="O120" s="74"/>
      <c r="P120" s="74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135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135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135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135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135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135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135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135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135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135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135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135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135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135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135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135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135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135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135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135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135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135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135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135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135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135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135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135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135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135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135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135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135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135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135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135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135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135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135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135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135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135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135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135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135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135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135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135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135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135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135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135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135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135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135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135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135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135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135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135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135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135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135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135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135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135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135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135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135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135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135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135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135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135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135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135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135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135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135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135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135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135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135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135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135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135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135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135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135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135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135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135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135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135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135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135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135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135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135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135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135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135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135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135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135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135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135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135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135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135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135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135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135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135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135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135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135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135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135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135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135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135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135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135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135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135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135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135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135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135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135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135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135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135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135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135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135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135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135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135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135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135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135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135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135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135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135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135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135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135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135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135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135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135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135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135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135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135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135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135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135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135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135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135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135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135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135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135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135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135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135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135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135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135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135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135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135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135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135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135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135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135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135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135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135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135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135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135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135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135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135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135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135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135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135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135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135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135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135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135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135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135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135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135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135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135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135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135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135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135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135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135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135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135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135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135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135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135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135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135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135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135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135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135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135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135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135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135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135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135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135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135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135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135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135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135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135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135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135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135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135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135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135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135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135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135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135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135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135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135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135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135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135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135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135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135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135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135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135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135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135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135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135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135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135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135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135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135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135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135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135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135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135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135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135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135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135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135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135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135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135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135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135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135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135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135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135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135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135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135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135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135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135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135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135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135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135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135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135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135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135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135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135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135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135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135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135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135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135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135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135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135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135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135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135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135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135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135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135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135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135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135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135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135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135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135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135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135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135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135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135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135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135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135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135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135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135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135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135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135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135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135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135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135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135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135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135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135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135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135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135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135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135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135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135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135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135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135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135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135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135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135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135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135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135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135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135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135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135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135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135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135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135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135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135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135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135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135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135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135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135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135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135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135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135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135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135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135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135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135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135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135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135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135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135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135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135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135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135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135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135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135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135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135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135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135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135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135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135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135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135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135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135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135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135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135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135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135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135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135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135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135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135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135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135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135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135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135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135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135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135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135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135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135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135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135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135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135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135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135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135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135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135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135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135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135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135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135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135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135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135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135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135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135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135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135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135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135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135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135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135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135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135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135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135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135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135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135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135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135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135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135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135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135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135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135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135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135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135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135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135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135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135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135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135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135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135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135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135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135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135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135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135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135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135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135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135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135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135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135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135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135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135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135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135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135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135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135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135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135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135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135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135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135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135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135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135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135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135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135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135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135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135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135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135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135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135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135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135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135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135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135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135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135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135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135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135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135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135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135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135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135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135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135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135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135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135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135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135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135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135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135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135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135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135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135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135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135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135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135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135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135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135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135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135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135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135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135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135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135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135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135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135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135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135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135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135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135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135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135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135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135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135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135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135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135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135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135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135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135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135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135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135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135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135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135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135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135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135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135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135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135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135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135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135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135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135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135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135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135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135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135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135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135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135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135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135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135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135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135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135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135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135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135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135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135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135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135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135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135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135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135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135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135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135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135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135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135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135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135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135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135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135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135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135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135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135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135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135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135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135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135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135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135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135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135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135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135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135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135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135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135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135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135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135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135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135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135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135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135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135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135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135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135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135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135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135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135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135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135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135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135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135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135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135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135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135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135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135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135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135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135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135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135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135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135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135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135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135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135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135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135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135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135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135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135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135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135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135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135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135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135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135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135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135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135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135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135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135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135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135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135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135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135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135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135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135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135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135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135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135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135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135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135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135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135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135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135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135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135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135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135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135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135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135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135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135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135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135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135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135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135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135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135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135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135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135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135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135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135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135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135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135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135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135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135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135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135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135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135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135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135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135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135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135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135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135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135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135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135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135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135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135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135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135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135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135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135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135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135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135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135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135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135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135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135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135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135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135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135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135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135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135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135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135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135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135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135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135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135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135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135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135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135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135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135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135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135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135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135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135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135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135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135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135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135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135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135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135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135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135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135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135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135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135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135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135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135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135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135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135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135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135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135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135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135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135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135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135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135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135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135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135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135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135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135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135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135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135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135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135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135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135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135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135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135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135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135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135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135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135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135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135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135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135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135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135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135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135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135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1.14"/>
    <col customWidth="1" min="2" max="3" width="26.0"/>
    <col customWidth="1" min="4" max="4" width="20.86"/>
    <col customWidth="1" min="5" max="5" width="19.43"/>
    <col customWidth="1" min="6" max="6" width="21.14"/>
    <col customWidth="1" min="7" max="7" width="22.0"/>
    <col customWidth="1" min="8" max="9" width="17.14"/>
    <col customWidth="1" min="10" max="10" width="19.0"/>
    <col customWidth="1" min="11" max="15" width="17.14"/>
    <col customWidth="1" min="16" max="27" width="8.0"/>
  </cols>
  <sheetData>
    <row r="1" ht="14.25" customHeight="1">
      <c r="A1" s="93"/>
      <c r="B1" s="94" t="s">
        <v>188</v>
      </c>
      <c r="C1" s="95" t="s">
        <v>3</v>
      </c>
      <c r="D1" s="96" t="s">
        <v>5</v>
      </c>
      <c r="E1" s="96" t="s">
        <v>6</v>
      </c>
      <c r="F1" s="96" t="s">
        <v>7</v>
      </c>
      <c r="G1" s="96" t="s">
        <v>8</v>
      </c>
      <c r="H1" s="96" t="s">
        <v>9</v>
      </c>
      <c r="I1" s="96" t="s">
        <v>10</v>
      </c>
      <c r="J1" s="96" t="s">
        <v>11</v>
      </c>
      <c r="K1" s="96" t="s">
        <v>12</v>
      </c>
      <c r="L1" s="96" t="s">
        <v>13</v>
      </c>
      <c r="M1" s="96" t="s">
        <v>14</v>
      </c>
      <c r="N1" s="98" t="s">
        <v>15</v>
      </c>
      <c r="O1" s="99" t="s">
        <v>16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</row>
    <row r="2" ht="14.25" customHeight="1">
      <c r="A2" s="10" t="s">
        <v>193</v>
      </c>
      <c r="B2" s="103"/>
      <c r="C2" s="104"/>
      <c r="D2" s="12"/>
      <c r="E2" s="12"/>
      <c r="F2" s="10"/>
      <c r="G2" s="12"/>
      <c r="H2" s="12"/>
      <c r="I2" s="12"/>
      <c r="J2" s="10"/>
      <c r="K2" s="12"/>
      <c r="L2" s="12"/>
      <c r="M2" s="12"/>
      <c r="N2" s="12"/>
      <c r="O2" s="12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</row>
    <row r="3" ht="14.25" customHeight="1">
      <c r="A3" s="10" t="s">
        <v>194</v>
      </c>
      <c r="B3" s="103" t="s">
        <v>195</v>
      </c>
      <c r="C3" s="105">
        <v>6.050645430276724E10</v>
      </c>
      <c r="D3" s="12"/>
      <c r="E3" s="12"/>
      <c r="F3" s="10"/>
      <c r="G3" s="18"/>
      <c r="H3" s="12"/>
      <c r="I3" s="12"/>
      <c r="J3" s="10"/>
      <c r="K3" s="18"/>
      <c r="L3" s="12"/>
      <c r="M3" s="12"/>
      <c r="N3" s="12"/>
      <c r="O3" s="12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</row>
    <row r="4" ht="14.25" customHeight="1">
      <c r="A4" s="10" t="s">
        <v>198</v>
      </c>
      <c r="B4" s="103" t="s">
        <v>199</v>
      </c>
      <c r="C4" s="105">
        <v>9.332511884E9</v>
      </c>
      <c r="D4" s="12"/>
      <c r="E4" s="12"/>
      <c r="F4" s="10"/>
      <c r="G4" s="18"/>
      <c r="H4" s="12"/>
      <c r="I4" s="12"/>
      <c r="J4" s="10"/>
      <c r="K4" s="18"/>
      <c r="L4" s="12"/>
      <c r="M4" s="12"/>
      <c r="N4" s="12"/>
      <c r="O4" s="12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</row>
    <row r="5" ht="14.25" customHeight="1">
      <c r="A5" s="25"/>
      <c r="B5" s="103"/>
      <c r="C5" s="104">
        <v>3.1624417220357746E10</v>
      </c>
      <c r="D5" s="12"/>
      <c r="E5" s="12"/>
      <c r="F5" s="25"/>
      <c r="G5" s="12"/>
      <c r="H5" s="12"/>
      <c r="I5" s="12"/>
      <c r="J5" s="25"/>
      <c r="K5" s="12"/>
      <c r="L5" s="12"/>
      <c r="M5" s="12"/>
      <c r="N5" s="12"/>
      <c r="O5" s="12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</row>
    <row r="6" ht="14.25" customHeight="1">
      <c r="A6" s="25" t="s">
        <v>202</v>
      </c>
      <c r="B6" s="103" t="s">
        <v>195</v>
      </c>
      <c r="C6" s="104">
        <v>0.0</v>
      </c>
      <c r="D6" s="12"/>
      <c r="E6" s="12"/>
      <c r="F6" s="25"/>
      <c r="G6" s="12"/>
      <c r="H6" s="12"/>
      <c r="I6" s="12"/>
      <c r="J6" s="25"/>
      <c r="K6" s="12"/>
      <c r="L6" s="12"/>
      <c r="M6" s="12"/>
      <c r="N6" s="12"/>
      <c r="O6" s="12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</row>
    <row r="7" ht="14.25" customHeight="1">
      <c r="A7" s="10" t="s">
        <v>204</v>
      </c>
      <c r="B7" s="103"/>
      <c r="C7" s="105">
        <v>-8.114327674672511E10</v>
      </c>
      <c r="D7" s="12"/>
      <c r="E7" s="12"/>
      <c r="F7" s="10"/>
      <c r="G7" s="18"/>
      <c r="H7" s="12"/>
      <c r="I7" s="12"/>
      <c r="J7" s="10"/>
      <c r="K7" s="18"/>
      <c r="L7" s="12"/>
      <c r="M7" s="12"/>
      <c r="N7" s="12"/>
      <c r="O7" s="12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</row>
    <row r="8" ht="14.25" customHeight="1">
      <c r="A8" s="25" t="s">
        <v>205</v>
      </c>
      <c r="B8" s="103" t="s">
        <v>195</v>
      </c>
      <c r="C8" s="106"/>
      <c r="D8" s="35"/>
      <c r="E8" s="35"/>
      <c r="F8" s="25"/>
      <c r="G8" s="35"/>
      <c r="H8" s="35"/>
      <c r="I8" s="35"/>
      <c r="J8" s="25"/>
      <c r="K8" s="35"/>
      <c r="L8" s="35"/>
      <c r="M8" s="35"/>
      <c r="N8" s="35"/>
      <c r="O8" s="35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</row>
    <row r="9" ht="14.25" customHeight="1">
      <c r="A9" s="25" t="s">
        <v>207</v>
      </c>
      <c r="B9" s="103" t="s">
        <v>199</v>
      </c>
      <c r="C9" s="106"/>
      <c r="D9" s="35"/>
      <c r="E9" s="35"/>
      <c r="F9" s="25"/>
      <c r="G9" s="35"/>
      <c r="H9" s="35"/>
      <c r="I9" s="35"/>
      <c r="J9" s="25"/>
      <c r="K9" s="35"/>
      <c r="L9" s="35"/>
      <c r="M9" s="35"/>
      <c r="N9" s="35"/>
      <c r="O9" s="35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</row>
    <row r="10" ht="14.25" customHeight="1">
      <c r="A10" s="25" t="s">
        <v>209</v>
      </c>
      <c r="B10" s="103" t="s">
        <v>195</v>
      </c>
      <c r="C10" s="106"/>
      <c r="D10" s="35"/>
      <c r="E10" s="35"/>
      <c r="F10" s="25"/>
      <c r="G10" s="35"/>
      <c r="H10" s="35"/>
      <c r="I10" s="35"/>
      <c r="J10" s="25"/>
      <c r="K10" s="35"/>
      <c r="L10" s="35"/>
      <c r="M10" s="35"/>
      <c r="N10" s="35"/>
      <c r="O10" s="35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</row>
    <row r="11" ht="14.25" customHeight="1">
      <c r="A11" s="25" t="s">
        <v>210</v>
      </c>
      <c r="B11" s="103" t="s">
        <v>199</v>
      </c>
      <c r="C11" s="106"/>
      <c r="D11" s="35"/>
      <c r="E11" s="35"/>
      <c r="F11" s="25"/>
      <c r="G11" s="35"/>
      <c r="H11" s="35"/>
      <c r="I11" s="35"/>
      <c r="J11" s="25"/>
      <c r="K11" s="35"/>
      <c r="L11" s="35"/>
      <c r="M11" s="35"/>
      <c r="N11" s="35"/>
      <c r="O11" s="35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</row>
    <row r="12" ht="14.25" customHeight="1">
      <c r="A12" s="25" t="s">
        <v>212</v>
      </c>
      <c r="B12" s="103" t="s">
        <v>195</v>
      </c>
      <c r="C12" s="106"/>
      <c r="D12" s="35"/>
      <c r="E12" s="35"/>
      <c r="F12" s="25"/>
      <c r="G12" s="35"/>
      <c r="H12" s="35"/>
      <c r="I12" s="35"/>
      <c r="J12" s="25"/>
      <c r="K12" s="35"/>
      <c r="L12" s="35"/>
      <c r="M12" s="35"/>
      <c r="N12" s="35"/>
      <c r="O12" s="35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</row>
    <row r="13" ht="14.25" customHeight="1">
      <c r="A13" s="25" t="s">
        <v>213</v>
      </c>
      <c r="B13" s="103" t="s">
        <v>199</v>
      </c>
      <c r="C13" s="106"/>
      <c r="D13" s="35"/>
      <c r="E13" s="35"/>
      <c r="F13" s="25"/>
      <c r="G13" s="35"/>
      <c r="H13" s="35"/>
      <c r="I13" s="35"/>
      <c r="J13" s="25"/>
      <c r="K13" s="35"/>
      <c r="L13" s="35"/>
      <c r="M13" s="35"/>
      <c r="N13" s="35"/>
      <c r="O13" s="35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</row>
    <row r="14" ht="14.25" customHeight="1">
      <c r="A14" s="10" t="s">
        <v>215</v>
      </c>
      <c r="B14" s="103" t="s">
        <v>195</v>
      </c>
      <c r="C14" s="106">
        <v>-1.9419271408141403E9</v>
      </c>
      <c r="D14" s="35"/>
      <c r="E14" s="35"/>
      <c r="F14" s="25"/>
      <c r="G14" s="35"/>
      <c r="H14" s="35"/>
      <c r="I14" s="35"/>
      <c r="J14" s="25"/>
      <c r="K14" s="35"/>
      <c r="L14" s="35"/>
      <c r="M14" s="35"/>
      <c r="N14" s="35"/>
      <c r="O14" s="35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</row>
    <row r="15" ht="14.25" customHeight="1">
      <c r="A15" s="25"/>
      <c r="B15" s="103"/>
      <c r="C15" s="109"/>
      <c r="D15" s="39"/>
      <c r="E15" s="39"/>
      <c r="F15" s="25"/>
      <c r="G15" s="39"/>
      <c r="H15" s="39"/>
      <c r="I15" s="39"/>
      <c r="J15" s="25"/>
      <c r="K15" s="39"/>
      <c r="L15" s="39"/>
      <c r="M15" s="39"/>
      <c r="N15" s="39"/>
      <c r="O15" s="39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</row>
    <row r="16" ht="14.25" customHeight="1">
      <c r="A16" s="112" t="s">
        <v>218</v>
      </c>
      <c r="B16" s="113"/>
      <c r="C16" s="114">
        <v>1.837817951958573E10</v>
      </c>
      <c r="D16" s="115"/>
      <c r="E16" s="115"/>
      <c r="F16" s="116"/>
      <c r="G16" s="115"/>
      <c r="H16" s="115"/>
      <c r="I16" s="115"/>
      <c r="J16" s="116"/>
      <c r="K16" s="115"/>
      <c r="L16" s="115"/>
      <c r="M16" s="115"/>
      <c r="N16" s="115"/>
      <c r="O16" s="115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</row>
    <row r="17" ht="14.25" customHeight="1">
      <c r="A17" s="10"/>
      <c r="B17" s="103"/>
      <c r="C17" s="105"/>
      <c r="D17" s="12"/>
      <c r="E17" s="12"/>
      <c r="F17" s="10"/>
      <c r="G17" s="18"/>
      <c r="H17" s="12"/>
      <c r="I17" s="12"/>
      <c r="J17" s="10"/>
      <c r="K17" s="18"/>
      <c r="L17" s="12"/>
      <c r="M17" s="12"/>
      <c r="N17" s="12"/>
      <c r="O17" s="12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</row>
    <row r="18" ht="14.25" customHeight="1">
      <c r="A18" s="10" t="s">
        <v>219</v>
      </c>
      <c r="B18" s="103"/>
      <c r="C18" s="104"/>
      <c r="D18" s="12"/>
      <c r="E18" s="12"/>
      <c r="F18" s="25"/>
      <c r="G18" s="12"/>
      <c r="H18" s="12"/>
      <c r="I18" s="12"/>
      <c r="J18" s="25"/>
      <c r="K18" s="12"/>
      <c r="L18" s="12"/>
      <c r="M18" s="12"/>
      <c r="N18" s="12"/>
      <c r="O18" s="12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</row>
    <row r="19" ht="14.25" customHeight="1">
      <c r="A19" s="25" t="s">
        <v>220</v>
      </c>
      <c r="B19" s="103" t="s">
        <v>199</v>
      </c>
      <c r="C19" s="104">
        <v>-6.481027736792712E11</v>
      </c>
      <c r="D19" s="12"/>
      <c r="E19" s="12"/>
      <c r="F19" s="25"/>
      <c r="G19" s="12"/>
      <c r="H19" s="12"/>
      <c r="I19" s="12"/>
      <c r="J19" s="119">
        <f>C19</f>
        <v>-648102773679</v>
      </c>
      <c r="K19" s="12"/>
      <c r="L19" s="12"/>
      <c r="M19" s="12"/>
      <c r="N19" s="12"/>
      <c r="O19" s="12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</row>
    <row r="20" ht="14.25" customHeight="1">
      <c r="A20" s="25" t="s">
        <v>222</v>
      </c>
      <c r="B20" s="103" t="s">
        <v>195</v>
      </c>
      <c r="C20" s="104">
        <v>0.0</v>
      </c>
      <c r="D20" s="12"/>
      <c r="E20" s="12"/>
      <c r="F20" s="25"/>
      <c r="G20" s="12"/>
      <c r="H20" s="12"/>
      <c r="I20" s="12"/>
      <c r="J20" s="25"/>
      <c r="K20" s="12"/>
      <c r="L20" s="12"/>
      <c r="M20" s="12"/>
      <c r="N20" s="12"/>
      <c r="O20" s="12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</row>
    <row r="21" ht="14.25" customHeight="1">
      <c r="A21" s="25" t="s">
        <v>223</v>
      </c>
      <c r="B21" s="103" t="s">
        <v>199</v>
      </c>
      <c r="C21" s="104">
        <v>0.0</v>
      </c>
      <c r="D21" s="12"/>
      <c r="E21" s="12"/>
      <c r="F21" s="25"/>
      <c r="G21" s="12"/>
      <c r="H21" s="12"/>
      <c r="I21" s="12"/>
      <c r="J21" s="25"/>
      <c r="K21" s="12"/>
      <c r="L21" s="12"/>
      <c r="M21" s="12"/>
      <c r="N21" s="12"/>
      <c r="O21" s="12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</row>
    <row r="22" ht="14.25" customHeight="1">
      <c r="A22" s="25" t="s">
        <v>224</v>
      </c>
      <c r="B22" s="103" t="s">
        <v>195</v>
      </c>
      <c r="C22" s="104">
        <v>0.0</v>
      </c>
      <c r="D22" s="12"/>
      <c r="E22" s="12"/>
      <c r="F22" s="25"/>
      <c r="G22" s="12"/>
      <c r="H22" s="12"/>
      <c r="I22" s="12"/>
      <c r="J22" s="25"/>
      <c r="K22" s="12"/>
      <c r="L22" s="12"/>
      <c r="M22" s="12"/>
      <c r="N22" s="12"/>
      <c r="O22" s="12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</row>
    <row r="23" ht="14.25" customHeight="1">
      <c r="A23" s="25" t="s">
        <v>225</v>
      </c>
      <c r="B23" s="103" t="s">
        <v>199</v>
      </c>
      <c r="C23" s="124">
        <v>0.0</v>
      </c>
      <c r="D23" s="35"/>
      <c r="E23" s="35"/>
      <c r="F23" s="25"/>
      <c r="G23" s="46"/>
      <c r="H23" s="35"/>
      <c r="I23" s="35"/>
      <c r="J23" s="25"/>
      <c r="K23" s="46"/>
      <c r="L23" s="35"/>
      <c r="M23" s="35"/>
      <c r="N23" s="35"/>
      <c r="O23" s="35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</row>
    <row r="24" ht="14.25" customHeight="1">
      <c r="A24" s="25" t="s">
        <v>226</v>
      </c>
      <c r="B24" s="103" t="s">
        <v>195</v>
      </c>
      <c r="C24" s="109">
        <v>0.0</v>
      </c>
      <c r="D24" s="39"/>
      <c r="E24" s="39"/>
      <c r="F24" s="25"/>
      <c r="G24" s="39"/>
      <c r="H24" s="39"/>
      <c r="I24" s="39"/>
      <c r="J24" s="25"/>
      <c r="K24" s="39"/>
      <c r="L24" s="39"/>
      <c r="M24" s="39"/>
      <c r="N24" s="39"/>
      <c r="O24" s="39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</row>
    <row r="25" ht="14.25" customHeight="1">
      <c r="A25" s="25" t="s">
        <v>227</v>
      </c>
      <c r="B25" s="103" t="s">
        <v>195</v>
      </c>
      <c r="C25" s="109">
        <v>0.0</v>
      </c>
      <c r="D25" s="39"/>
      <c r="E25" s="39"/>
      <c r="F25" s="25"/>
      <c r="G25" s="39"/>
      <c r="H25" s="39"/>
      <c r="I25" s="39"/>
      <c r="J25" s="25"/>
      <c r="K25" s="39"/>
      <c r="L25" s="39"/>
      <c r="M25" s="39"/>
      <c r="N25" s="39"/>
      <c r="O25" s="39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</row>
    <row r="26" ht="14.25" customHeight="1">
      <c r="A26" s="10"/>
      <c r="B26" s="103"/>
      <c r="C26" s="105"/>
      <c r="D26" s="12"/>
      <c r="E26" s="12"/>
      <c r="F26" s="10"/>
      <c r="G26" s="18"/>
      <c r="H26" s="12"/>
      <c r="I26" s="12"/>
      <c r="J26" s="10"/>
      <c r="K26" s="18"/>
      <c r="L26" s="12"/>
      <c r="M26" s="12"/>
      <c r="N26" s="12"/>
      <c r="O26" s="12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</row>
    <row r="27" ht="14.25" customHeight="1">
      <c r="A27" s="112" t="s">
        <v>228</v>
      </c>
      <c r="B27" s="113"/>
      <c r="C27" s="114">
        <v>-6.481027736792712E11</v>
      </c>
      <c r="D27" s="115"/>
      <c r="E27" s="115"/>
      <c r="F27" s="116"/>
      <c r="G27" s="115"/>
      <c r="H27" s="115"/>
      <c r="I27" s="115"/>
      <c r="J27" s="116"/>
      <c r="K27" s="115"/>
      <c r="L27" s="115"/>
      <c r="M27" s="115"/>
      <c r="N27" s="115"/>
      <c r="O27" s="115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</row>
    <row r="28" ht="14.25" customHeight="1">
      <c r="A28" s="25"/>
      <c r="B28" s="103"/>
      <c r="C28" s="104"/>
      <c r="D28" s="12"/>
      <c r="E28" s="12"/>
      <c r="F28" s="25"/>
      <c r="G28" s="12"/>
      <c r="H28" s="12"/>
      <c r="I28" s="12"/>
      <c r="J28" s="25"/>
      <c r="K28" s="12"/>
      <c r="L28" s="12"/>
      <c r="M28" s="12"/>
      <c r="N28" s="12"/>
      <c r="O28" s="12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</row>
    <row r="29" ht="14.25" customHeight="1">
      <c r="A29" s="10" t="s">
        <v>229</v>
      </c>
      <c r="B29" s="103"/>
      <c r="C29" s="105"/>
      <c r="D29" s="12"/>
      <c r="E29" s="12"/>
      <c r="F29" s="10"/>
      <c r="G29" s="18"/>
      <c r="H29" s="12"/>
      <c r="I29" s="12"/>
      <c r="J29" s="10"/>
      <c r="K29" s="18"/>
      <c r="L29" s="12"/>
      <c r="M29" s="12"/>
      <c r="N29" s="12"/>
      <c r="O29" s="12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</row>
    <row r="30" ht="14.25" customHeight="1">
      <c r="A30" s="25" t="s">
        <v>230</v>
      </c>
      <c r="B30" s="103" t="s">
        <v>195</v>
      </c>
      <c r="C30" s="104">
        <v>1.9678797159398135E11</v>
      </c>
      <c r="D30" s="12"/>
      <c r="E30" s="12"/>
      <c r="F30" s="25"/>
      <c r="G30" s="12"/>
      <c r="H30" s="12"/>
      <c r="I30" s="12"/>
      <c r="J30" s="25"/>
      <c r="K30" s="12"/>
      <c r="L30" s="12"/>
      <c r="M30" s="12"/>
      <c r="N30" s="12"/>
      <c r="O30" s="12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</row>
    <row r="31" ht="14.25" customHeight="1">
      <c r="A31" s="25" t="s">
        <v>231</v>
      </c>
      <c r="B31" s="103" t="str">
        <f t="shared" ref="B31:B34" si="1">MID(A31,FIND(" ",A31) + 1,FIND(CHAR(160),SUBSTITUTE(A31," ",CHAR(160),2)) - 1 - (FIND(" ",A31)))</f>
        <v>chi</v>
      </c>
      <c r="C31" s="104"/>
      <c r="D31" s="12"/>
      <c r="E31" s="12"/>
      <c r="F31" s="25"/>
      <c r="G31" s="12"/>
      <c r="H31" s="12"/>
      <c r="I31" s="12"/>
      <c r="J31" s="25"/>
      <c r="K31" s="12"/>
      <c r="L31" s="12"/>
      <c r="M31" s="12"/>
      <c r="N31" s="12"/>
      <c r="O31" s="12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</row>
    <row r="32" ht="14.25" customHeight="1">
      <c r="A32" s="25" t="s">
        <v>235</v>
      </c>
      <c r="B32" s="103" t="str">
        <f t="shared" si="1"/>
        <v>thu</v>
      </c>
      <c r="C32" s="106"/>
      <c r="D32" s="35"/>
      <c r="E32" s="35"/>
      <c r="F32" s="25"/>
      <c r="G32" s="35"/>
      <c r="H32" s="35"/>
      <c r="I32" s="35"/>
      <c r="J32" s="25"/>
      <c r="K32" s="35"/>
      <c r="L32" s="35"/>
      <c r="M32" s="35"/>
      <c r="N32" s="35"/>
      <c r="O32" s="35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</row>
    <row r="33" ht="14.25" customHeight="1">
      <c r="A33" s="25" t="s">
        <v>236</v>
      </c>
      <c r="B33" s="103" t="str">
        <f t="shared" si="1"/>
        <v>chi</v>
      </c>
      <c r="C33" s="109"/>
      <c r="D33" s="39"/>
      <c r="E33" s="39"/>
      <c r="F33" s="25"/>
      <c r="G33" s="39"/>
      <c r="H33" s="39"/>
      <c r="I33" s="39"/>
      <c r="J33" s="25"/>
      <c r="K33" s="39"/>
      <c r="L33" s="39"/>
      <c r="M33" s="39"/>
      <c r="N33" s="39"/>
      <c r="O33" s="39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</row>
    <row r="34" ht="14.25" customHeight="1">
      <c r="A34" s="25" t="s">
        <v>237</v>
      </c>
      <c r="B34" s="103" t="str">
        <f t="shared" si="1"/>
        <v>chi</v>
      </c>
      <c r="C34" s="109"/>
      <c r="D34" s="39"/>
      <c r="E34" s="39"/>
      <c r="F34" s="25"/>
      <c r="G34" s="39"/>
      <c r="H34" s="39"/>
      <c r="I34" s="39"/>
      <c r="J34" s="25"/>
      <c r="K34" s="39"/>
      <c r="L34" s="39"/>
      <c r="M34" s="39"/>
      <c r="N34" s="39"/>
      <c r="O34" s="39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</row>
    <row r="35" ht="14.25" customHeight="1">
      <c r="A35" s="10" t="s">
        <v>238</v>
      </c>
      <c r="B35" s="103" t="s">
        <v>199</v>
      </c>
      <c r="C35" s="105">
        <v>0.0</v>
      </c>
      <c r="D35" s="12"/>
      <c r="E35" s="12"/>
      <c r="F35" s="10"/>
      <c r="G35" s="18"/>
      <c r="H35" s="12"/>
      <c r="I35" s="12"/>
      <c r="J35" s="10"/>
      <c r="K35" s="18"/>
      <c r="L35" s="12"/>
      <c r="M35" s="12"/>
      <c r="N35" s="12"/>
      <c r="O35" s="12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</row>
    <row r="36" ht="14.25" customHeight="1">
      <c r="A36" s="10" t="s">
        <v>239</v>
      </c>
      <c r="B36" s="103" t="s">
        <v>195</v>
      </c>
      <c r="C36" s="104">
        <v>5.426743520461658E10</v>
      </c>
      <c r="D36" s="12"/>
      <c r="E36" s="12"/>
      <c r="F36" s="10"/>
      <c r="G36" s="12"/>
      <c r="H36" s="12"/>
      <c r="I36" s="12"/>
      <c r="J36" s="10"/>
      <c r="K36" s="12"/>
      <c r="L36" s="12"/>
      <c r="M36" s="12"/>
      <c r="N36" s="12"/>
      <c r="O36" s="12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</row>
    <row r="37" ht="14.25" customHeight="1">
      <c r="A37" s="25" t="s">
        <v>240</v>
      </c>
      <c r="B37" s="103" t="s">
        <v>195</v>
      </c>
      <c r="C37" s="104">
        <v>4.3261570274728986E11</v>
      </c>
      <c r="D37" s="12"/>
      <c r="E37" s="12"/>
      <c r="F37" s="25"/>
      <c r="G37" s="12"/>
      <c r="H37" s="12"/>
      <c r="I37" s="12"/>
      <c r="J37" s="25"/>
      <c r="K37" s="12"/>
      <c r="L37" s="12"/>
      <c r="M37" s="12"/>
      <c r="N37" s="12"/>
      <c r="O37" s="12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</row>
    <row r="38" ht="14.25" customHeight="1">
      <c r="A38" s="25" t="s">
        <v>243</v>
      </c>
      <c r="B38" s="103"/>
      <c r="C38" s="104">
        <v>0.0</v>
      </c>
      <c r="D38" s="12"/>
      <c r="E38" s="12"/>
      <c r="F38" s="25"/>
      <c r="G38" s="12"/>
      <c r="H38" s="12"/>
      <c r="I38" s="12"/>
      <c r="J38" s="25"/>
      <c r="K38" s="12"/>
      <c r="L38" s="12"/>
      <c r="M38" s="12"/>
      <c r="N38" s="12"/>
      <c r="O38" s="12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</row>
    <row r="39" ht="14.25" customHeight="1">
      <c r="A39" s="25"/>
      <c r="B39" s="103"/>
      <c r="C39" s="104"/>
      <c r="D39" s="12"/>
      <c r="E39" s="12"/>
      <c r="F39" s="25"/>
      <c r="G39" s="12"/>
      <c r="H39" s="12"/>
      <c r="I39" s="12"/>
      <c r="J39" s="25"/>
      <c r="K39" s="12"/>
      <c r="L39" s="12"/>
      <c r="M39" s="12"/>
      <c r="N39" s="12"/>
      <c r="O39" s="12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</row>
    <row r="40" ht="14.25" customHeight="1">
      <c r="A40" s="112" t="s">
        <v>245</v>
      </c>
      <c r="B40" s="113"/>
      <c r="C40" s="114">
        <v>6.836711095458878E11</v>
      </c>
      <c r="D40" s="115"/>
      <c r="E40" s="115"/>
      <c r="F40" s="116"/>
      <c r="G40" s="115"/>
      <c r="H40" s="115"/>
      <c r="I40" s="115"/>
      <c r="J40" s="116"/>
      <c r="K40" s="115"/>
      <c r="L40" s="115"/>
      <c r="M40" s="115"/>
      <c r="N40" s="115"/>
      <c r="O40" s="115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</row>
    <row r="41" ht="14.25" customHeight="1">
      <c r="A41" s="25"/>
      <c r="B41" s="103"/>
      <c r="C41" s="106"/>
      <c r="D41" s="35"/>
      <c r="E41" s="35"/>
      <c r="F41" s="25"/>
      <c r="G41" s="35"/>
      <c r="H41" s="35"/>
      <c r="I41" s="35"/>
      <c r="J41" s="25"/>
      <c r="K41" s="35"/>
      <c r="L41" s="35"/>
      <c r="M41" s="35"/>
      <c r="N41" s="35"/>
      <c r="O41" s="35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</row>
    <row r="42" ht="14.25" customHeight="1">
      <c r="A42" s="10" t="s">
        <v>246</v>
      </c>
      <c r="B42" s="140"/>
      <c r="C42" s="106">
        <v>5.394651538620231E10</v>
      </c>
      <c r="D42" s="39"/>
      <c r="E42" s="39"/>
      <c r="F42" s="25"/>
      <c r="G42" s="39"/>
      <c r="H42" s="39"/>
      <c r="I42" s="39"/>
      <c r="J42" s="25"/>
      <c r="K42" s="39"/>
      <c r="L42" s="39"/>
      <c r="M42" s="39"/>
      <c r="N42" s="39"/>
      <c r="O42" s="39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</row>
    <row r="43" ht="14.25" customHeight="1">
      <c r="A43" s="25"/>
      <c r="B43" s="103"/>
      <c r="C43" s="109"/>
      <c r="D43" s="39"/>
      <c r="E43" s="39"/>
      <c r="F43" s="25"/>
      <c r="G43" s="39"/>
      <c r="H43" s="39"/>
      <c r="I43" s="39"/>
      <c r="J43" s="25"/>
      <c r="K43" s="39"/>
      <c r="L43" s="39"/>
      <c r="M43" s="39"/>
      <c r="N43" s="39"/>
      <c r="O43" s="39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</row>
    <row r="44" ht="14.25" customHeight="1">
      <c r="A44" s="141" t="s">
        <v>247</v>
      </c>
      <c r="B44" s="140"/>
      <c r="C44" s="105">
        <v>1.6428115234E10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</row>
    <row r="45" ht="14.25" customHeight="1">
      <c r="A45" s="142"/>
      <c r="B45" s="103"/>
      <c r="C45" s="104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</row>
    <row r="46" ht="14.25" customHeight="1">
      <c r="A46" s="143" t="s">
        <v>248</v>
      </c>
      <c r="B46" s="103"/>
      <c r="C46" s="106">
        <v>0.0</v>
      </c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</row>
    <row r="47" ht="14.25" customHeight="1">
      <c r="A47" s="144"/>
      <c r="B47" s="103"/>
      <c r="C47" s="10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12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</row>
    <row r="48" ht="14.25" customHeight="1">
      <c r="A48" s="145" t="s">
        <v>249</v>
      </c>
      <c r="B48" s="146"/>
      <c r="C48" s="147">
        <v>7.03746306202023E10</v>
      </c>
      <c r="D48" s="148">
        <f>124768729785-126363027199+143758783+19536153470
</f>
        <v>18085614839</v>
      </c>
      <c r="E48" s="148">
        <f>13570038843+224094523</f>
        <v>13794133366</v>
      </c>
      <c r="F48" s="148">
        <f>47258172408+363483549</f>
        <v>47621655957</v>
      </c>
      <c r="G48" s="148">
        <f>47449522635+1468624847</f>
        <v>48918147482</v>
      </c>
      <c r="H48" s="148">
        <f>47891664866+598273842</f>
        <v>48489938708</v>
      </c>
      <c r="I48" s="148">
        <f>27798845273+755835197</f>
        <v>28554680470</v>
      </c>
      <c r="J48" s="148">
        <f>9975264487+635453798</f>
        <v>10610718285</v>
      </c>
      <c r="K48" s="148">
        <f>808169874+873219914</f>
        <v>1681389788</v>
      </c>
      <c r="L48" s="148">
        <f>9672737502+2161522834</f>
        <v>11834260336</v>
      </c>
      <c r="M48" s="148">
        <f>5184211+583251496</f>
        <v>588435707</v>
      </c>
      <c r="N48" s="148">
        <f>6697901044+270448476</f>
        <v>6968349520</v>
      </c>
      <c r="O48" s="148">
        <f>2771596620+1424729072</f>
        <v>4196325692</v>
      </c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</row>
    <row r="49" ht="14.25" customHeight="1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49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</row>
    <row r="50" ht="14.25" customHeight="1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</row>
    <row r="51" ht="14.25" customHeight="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</row>
    <row r="52" ht="14.25" customHeight="1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</row>
    <row r="53" ht="14.25" customHeight="1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</row>
    <row r="54" ht="14.25" customHeight="1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</row>
    <row r="55" ht="14.25" customHeight="1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</row>
    <row r="56" ht="14.25" customHeight="1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</row>
    <row r="57" ht="14.25" customHeight="1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</row>
    <row r="58" ht="14.25" customHeight="1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</row>
    <row r="59" ht="14.25" customHeight="1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</row>
    <row r="60" ht="14.2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</row>
    <row r="61" ht="14.25" customHeight="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</row>
    <row r="62" ht="14.25" customHeight="1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</row>
    <row r="63" ht="14.25" customHeight="1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</row>
    <row r="64" ht="14.25" customHeight="1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</row>
    <row r="65" ht="14.25" customHeight="1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</row>
    <row r="66" ht="14.25" customHeight="1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</row>
    <row r="67" ht="14.25" customHeight="1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</row>
    <row r="68" ht="14.25" customHeight="1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</row>
    <row r="69" ht="14.25" customHeight="1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</row>
    <row r="70" ht="14.25" customHeight="1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</row>
    <row r="71" ht="14.25" customHeight="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</row>
    <row r="72" ht="14.25" customHeight="1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</row>
    <row r="73" ht="14.25" customHeight="1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</row>
    <row r="74" ht="14.25" customHeight="1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</row>
    <row r="75" ht="14.25" customHeight="1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</row>
    <row r="76" ht="14.25" customHeight="1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</row>
    <row r="77" ht="14.25" customHeight="1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</row>
    <row r="78" ht="14.25" customHeight="1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</row>
    <row r="79" ht="14.25" customHeight="1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</row>
    <row r="80" ht="14.25" customHeight="1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</row>
    <row r="81" ht="14.25" customHeight="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</row>
    <row r="82" ht="14.25" customHeight="1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</row>
    <row r="83" ht="14.25" customHeight="1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</row>
    <row r="84" ht="14.25" customHeight="1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</row>
    <row r="85" ht="14.25" customHeight="1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</row>
    <row r="86" ht="14.25" customHeight="1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</row>
    <row r="87" ht="14.25" customHeight="1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</row>
    <row r="88" ht="14.25" customHeight="1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</row>
    <row r="89" ht="14.25" customHeight="1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</row>
    <row r="90" ht="14.25" customHeight="1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</row>
    <row r="91" ht="14.25" customHeight="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</row>
    <row r="92" ht="14.25" customHeight="1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</row>
    <row r="93" ht="14.25" customHeight="1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</row>
    <row r="94" ht="14.25" customHeight="1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</row>
    <row r="95" ht="14.25" customHeight="1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</row>
    <row r="96" ht="14.25" customHeight="1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</row>
    <row r="97" ht="14.25" customHeight="1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</row>
    <row r="98" ht="14.25" customHeight="1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</row>
    <row r="99" ht="14.25" customHeight="1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</row>
    <row r="100" ht="14.25" customHeight="1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</row>
    <row r="101" ht="14.25" customHeight="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</row>
    <row r="102" ht="14.25" customHeight="1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</row>
    <row r="103" ht="14.25" customHeight="1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</row>
    <row r="104" ht="14.25" customHeight="1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</row>
    <row r="105" ht="14.25" customHeight="1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</row>
    <row r="106" ht="14.25" customHeight="1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</row>
    <row r="107" ht="14.25" customHeight="1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</row>
    <row r="108" ht="14.25" customHeight="1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</row>
    <row r="109" ht="14.25" customHeight="1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</row>
    <row r="110" ht="14.25" customHeight="1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</row>
    <row r="111" ht="14.25" customHeight="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</row>
    <row r="112" ht="14.25" customHeight="1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</row>
    <row r="113" ht="14.25" customHeight="1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</row>
    <row r="114" ht="14.25" customHeight="1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</row>
    <row r="115" ht="14.25" customHeight="1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</row>
    <row r="116" ht="14.25" customHeight="1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</row>
    <row r="117" ht="14.25" customHeight="1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</row>
    <row r="118" ht="14.25" customHeight="1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</row>
    <row r="119" ht="14.25" customHeight="1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</row>
    <row r="120" ht="14.25" customHeight="1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</row>
    <row r="121" ht="14.25" customHeight="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</row>
    <row r="122" ht="14.25" customHeight="1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</row>
    <row r="123" ht="14.25" customHeight="1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</row>
    <row r="124" ht="14.25" customHeight="1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</row>
    <row r="125" ht="14.25" customHeight="1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</row>
    <row r="126" ht="14.25" customHeight="1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</row>
    <row r="127" ht="14.25" customHeight="1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</row>
    <row r="128" ht="14.25" customHeight="1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</row>
    <row r="129" ht="14.25" customHeight="1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</row>
    <row r="130" ht="14.25" customHeight="1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</row>
    <row r="131" ht="14.25" customHeight="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</row>
    <row r="132" ht="14.25" customHeight="1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</row>
    <row r="133" ht="14.25" customHeight="1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</row>
    <row r="134" ht="14.25" customHeight="1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</row>
    <row r="135" ht="14.25" customHeight="1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</row>
    <row r="136" ht="14.25" customHeight="1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</row>
    <row r="137" ht="14.25" customHeight="1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</row>
    <row r="138" ht="14.25" customHeight="1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</row>
    <row r="139" ht="14.25" customHeight="1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</row>
    <row r="140" ht="14.25" customHeight="1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</row>
    <row r="141" ht="14.25" customHeight="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</row>
    <row r="142" ht="14.25" customHeight="1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</row>
    <row r="143" ht="14.25" customHeight="1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</row>
    <row r="144" ht="14.25" customHeight="1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</row>
    <row r="145" ht="14.25" customHeight="1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</row>
    <row r="146" ht="14.25" customHeight="1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</row>
    <row r="147" ht="14.25" customHeight="1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</row>
    <row r="148" ht="14.25" customHeight="1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</row>
    <row r="149" ht="14.25" customHeight="1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</row>
    <row r="150" ht="14.25" customHeight="1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</row>
    <row r="151" ht="14.25" customHeight="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</row>
    <row r="152" ht="14.25" customHeight="1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</row>
    <row r="153" ht="14.25" customHeight="1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</row>
    <row r="154" ht="14.25" customHeight="1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</row>
    <row r="155" ht="14.25" customHeight="1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</row>
    <row r="156" ht="14.25" customHeight="1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</row>
    <row r="157" ht="14.25" customHeight="1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</row>
    <row r="158" ht="14.25" customHeight="1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</row>
    <row r="159" ht="14.25" customHeight="1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</row>
    <row r="160" ht="14.25" customHeight="1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</row>
    <row r="161" ht="14.25" customHeight="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</row>
    <row r="162" ht="14.25" customHeight="1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</row>
    <row r="163" ht="14.25" customHeight="1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</row>
    <row r="164" ht="14.25" customHeight="1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</row>
    <row r="165" ht="14.25" customHeight="1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</row>
    <row r="166" ht="14.25" customHeight="1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</row>
    <row r="167" ht="14.25" customHeight="1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</row>
    <row r="168" ht="14.25" customHeight="1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</row>
    <row r="169" ht="14.25" customHeight="1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</row>
    <row r="170" ht="14.25" customHeight="1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</row>
    <row r="171" ht="14.25" customHeight="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</row>
    <row r="172" ht="14.25" customHeight="1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</row>
    <row r="173" ht="14.25" customHeight="1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</row>
    <row r="174" ht="14.25" customHeight="1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</row>
    <row r="175" ht="14.25" customHeight="1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</row>
    <row r="176" ht="14.25" customHeight="1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</row>
    <row r="177" ht="14.25" customHeight="1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</row>
    <row r="178" ht="14.25" customHeight="1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</row>
    <row r="179" ht="14.25" customHeight="1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</row>
    <row r="180" ht="14.25" customHeight="1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</row>
    <row r="181" ht="14.25" customHeight="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</row>
    <row r="182" ht="14.25" customHeight="1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</row>
    <row r="183" ht="14.25" customHeight="1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</row>
    <row r="184" ht="14.25" customHeight="1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</row>
    <row r="185" ht="14.25" customHeight="1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</row>
    <row r="186" ht="14.25" customHeight="1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</row>
    <row r="187" ht="14.25" customHeight="1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</row>
    <row r="188" ht="14.25" customHeight="1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</row>
    <row r="189" ht="14.25" customHeight="1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</row>
    <row r="190" ht="14.25" customHeight="1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</row>
    <row r="191" ht="14.25" customHeight="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</row>
    <row r="192" ht="14.25" customHeight="1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</row>
    <row r="193" ht="14.25" customHeight="1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</row>
    <row r="194" ht="14.25" customHeight="1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</row>
    <row r="195" ht="14.25" customHeight="1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</row>
    <row r="196" ht="14.25" customHeight="1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</row>
    <row r="197" ht="14.25" customHeight="1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</row>
    <row r="198" ht="14.25" customHeight="1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</row>
    <row r="199" ht="14.25" customHeight="1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</row>
    <row r="200" ht="14.25" customHeight="1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</row>
    <row r="201" ht="14.25" customHeight="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</row>
    <row r="202" ht="14.25" customHeight="1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</row>
    <row r="203" ht="14.25" customHeight="1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</row>
    <row r="204" ht="14.25" customHeight="1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</row>
    <row r="205" ht="14.25" customHeight="1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</row>
    <row r="206" ht="14.25" customHeight="1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</row>
    <row r="207" ht="14.25" customHeight="1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</row>
    <row r="208" ht="14.25" customHeight="1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</row>
    <row r="209" ht="14.25" customHeight="1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</row>
    <row r="210" ht="14.25" customHeight="1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</row>
    <row r="211" ht="14.25" customHeight="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</row>
    <row r="212" ht="14.25" customHeight="1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</row>
    <row r="213" ht="14.25" customHeight="1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</row>
    <row r="214" ht="14.25" customHeight="1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</row>
    <row r="215" ht="14.25" customHeight="1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</row>
    <row r="216" ht="14.25" customHeight="1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</row>
    <row r="217" ht="14.25" customHeight="1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</row>
    <row r="218" ht="14.25" customHeight="1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</row>
    <row r="219" ht="14.25" customHeight="1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</row>
    <row r="220" ht="14.25" customHeight="1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</row>
    <row r="221" ht="14.25" customHeight="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</row>
    <row r="222" ht="14.25" customHeight="1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</row>
    <row r="223" ht="14.25" customHeight="1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</row>
    <row r="224" ht="14.25" customHeight="1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</row>
    <row r="225" ht="14.25" customHeight="1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</row>
    <row r="226" ht="14.25" customHeight="1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</row>
    <row r="227" ht="14.25" customHeight="1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</row>
    <row r="228" ht="14.25" customHeight="1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</row>
    <row r="229" ht="14.25" customHeight="1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</row>
    <row r="230" ht="14.25" customHeight="1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</row>
    <row r="231" ht="14.25" customHeight="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</row>
    <row r="232" ht="14.25" customHeight="1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</row>
    <row r="233" ht="14.25" customHeight="1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</row>
    <row r="234" ht="14.25" customHeight="1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</row>
    <row r="235" ht="14.25" customHeight="1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</row>
    <row r="236" ht="14.25" customHeight="1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</row>
    <row r="237" ht="14.25" customHeight="1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</row>
    <row r="238" ht="14.25" customHeight="1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</row>
    <row r="239" ht="14.25" customHeight="1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</row>
    <row r="240" ht="14.25" customHeight="1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</row>
    <row r="241" ht="14.25" customHeight="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</row>
    <row r="242" ht="14.25" customHeight="1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</row>
    <row r="243" ht="14.25" customHeight="1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</row>
    <row r="244" ht="14.25" customHeight="1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</row>
    <row r="245" ht="14.25" customHeight="1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</row>
    <row r="246" ht="14.25" customHeight="1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</row>
    <row r="247" ht="14.25" customHeight="1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</row>
    <row r="248" ht="14.25" customHeight="1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</row>
    <row r="249" ht="14.25" customHeight="1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</row>
    <row r="250" ht="14.25" customHeight="1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</row>
    <row r="251" ht="14.25" customHeight="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</row>
    <row r="252" ht="14.25" customHeight="1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</row>
    <row r="253" ht="14.25" customHeight="1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</row>
    <row r="254" ht="14.25" customHeight="1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</row>
    <row r="255" ht="14.25" customHeight="1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</row>
    <row r="256" ht="14.25" customHeight="1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</row>
    <row r="257" ht="14.25" customHeight="1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</row>
    <row r="258" ht="14.25" customHeight="1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</row>
    <row r="259" ht="14.25" customHeight="1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</row>
    <row r="260" ht="14.25" customHeight="1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</row>
    <row r="261" ht="14.25" customHeight="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</row>
    <row r="262" ht="14.25" customHeight="1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</row>
    <row r="263" ht="14.25" customHeight="1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</row>
    <row r="264" ht="14.25" customHeight="1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</row>
    <row r="265" ht="14.25" customHeight="1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</row>
    <row r="266" ht="14.25" customHeight="1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</row>
    <row r="267" ht="14.25" customHeight="1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</row>
    <row r="268" ht="14.25" customHeight="1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</row>
    <row r="269" ht="14.25" customHeight="1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</row>
    <row r="270" ht="14.25" customHeight="1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</row>
    <row r="271" ht="14.25" customHeight="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</row>
    <row r="272" ht="14.25" customHeight="1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</row>
    <row r="273" ht="14.25" customHeight="1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</row>
    <row r="274" ht="14.25" customHeight="1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</row>
    <row r="275" ht="14.25" customHeight="1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</row>
    <row r="276" ht="14.25" customHeight="1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</row>
    <row r="277" ht="14.25" customHeight="1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</row>
    <row r="278" ht="14.25" customHeight="1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</row>
    <row r="279" ht="14.25" customHeight="1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</row>
    <row r="280" ht="14.25" customHeight="1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</row>
    <row r="281" ht="14.25" customHeight="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</row>
    <row r="282" ht="14.25" customHeight="1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</row>
    <row r="283" ht="14.25" customHeight="1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</row>
    <row r="284" ht="14.25" customHeight="1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</row>
    <row r="285" ht="14.25" customHeight="1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</row>
    <row r="286" ht="14.25" customHeight="1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</row>
    <row r="287" ht="14.25" customHeight="1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</row>
    <row r="288" ht="14.25" customHeight="1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</row>
    <row r="289" ht="14.25" customHeight="1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</row>
    <row r="290" ht="14.25" customHeight="1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</row>
    <row r="291" ht="14.25" customHeight="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</row>
    <row r="292" ht="14.25" customHeight="1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</row>
    <row r="293" ht="14.25" customHeight="1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</row>
    <row r="294" ht="14.25" customHeight="1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</row>
    <row r="295" ht="14.25" customHeight="1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</row>
    <row r="296" ht="14.25" customHeight="1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</row>
    <row r="297" ht="14.25" customHeight="1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</row>
    <row r="298" ht="14.25" customHeight="1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</row>
    <row r="299" ht="14.25" customHeight="1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</row>
    <row r="300" ht="14.25" customHeight="1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</row>
    <row r="301" ht="14.25" customHeight="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</row>
    <row r="302" ht="14.25" customHeight="1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</row>
    <row r="303" ht="14.25" customHeight="1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</row>
    <row r="304" ht="14.25" customHeight="1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</row>
    <row r="305" ht="14.25" customHeight="1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</row>
    <row r="306" ht="14.25" customHeight="1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</row>
    <row r="307" ht="14.25" customHeight="1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</row>
    <row r="308" ht="14.25" customHeight="1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</row>
    <row r="309" ht="14.25" customHeight="1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</row>
    <row r="310" ht="14.25" customHeight="1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</row>
    <row r="311" ht="14.25" customHeight="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</row>
    <row r="312" ht="14.25" customHeight="1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</row>
    <row r="313" ht="14.25" customHeight="1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</row>
    <row r="314" ht="14.25" customHeight="1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</row>
    <row r="315" ht="14.25" customHeight="1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</row>
    <row r="316" ht="14.25" customHeight="1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</row>
    <row r="317" ht="14.25" customHeight="1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</row>
    <row r="318" ht="14.25" customHeight="1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</row>
    <row r="319" ht="14.25" customHeight="1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</row>
    <row r="320" ht="14.25" customHeight="1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</row>
    <row r="321" ht="14.25" customHeight="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</row>
    <row r="322" ht="14.25" customHeight="1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</row>
    <row r="323" ht="14.25" customHeight="1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</row>
    <row r="324" ht="14.25" customHeight="1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</row>
    <row r="325" ht="14.25" customHeight="1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</row>
    <row r="326" ht="14.25" customHeight="1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</row>
    <row r="327" ht="14.25" customHeight="1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</row>
    <row r="328" ht="14.25" customHeight="1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</row>
    <row r="329" ht="14.25" customHeight="1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</row>
    <row r="330" ht="14.25" customHeight="1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</row>
    <row r="331" ht="14.25" customHeight="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</row>
    <row r="332" ht="14.25" customHeight="1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</row>
    <row r="333" ht="14.25" customHeight="1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</row>
    <row r="334" ht="14.25" customHeight="1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</row>
    <row r="335" ht="14.25" customHeight="1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</row>
    <row r="336" ht="14.25" customHeight="1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</row>
    <row r="337" ht="14.25" customHeight="1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</row>
    <row r="338" ht="14.25" customHeight="1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</row>
    <row r="339" ht="14.25" customHeight="1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</row>
    <row r="340" ht="14.25" customHeight="1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</row>
    <row r="341" ht="14.25" customHeight="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</row>
    <row r="342" ht="14.25" customHeight="1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</row>
    <row r="343" ht="14.25" customHeight="1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</row>
    <row r="344" ht="14.25" customHeight="1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</row>
    <row r="345" ht="14.25" customHeight="1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</row>
    <row r="346" ht="14.25" customHeight="1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</row>
    <row r="347" ht="14.25" customHeight="1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</row>
    <row r="348" ht="14.25" customHeight="1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</row>
    <row r="349" ht="14.25" customHeight="1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</row>
    <row r="350" ht="14.25" customHeight="1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</row>
    <row r="351" ht="14.25" customHeight="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</row>
    <row r="352" ht="14.25" customHeight="1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</row>
    <row r="353" ht="14.25" customHeight="1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</row>
    <row r="354" ht="14.25" customHeight="1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</row>
    <row r="355" ht="14.25" customHeight="1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</row>
    <row r="356" ht="14.25" customHeight="1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</row>
    <row r="357" ht="14.25" customHeight="1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</row>
    <row r="358" ht="14.25" customHeight="1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</row>
    <row r="359" ht="14.25" customHeight="1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</row>
    <row r="360" ht="14.25" customHeight="1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</row>
    <row r="361" ht="14.25" customHeight="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</row>
    <row r="362" ht="14.25" customHeight="1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</row>
    <row r="363" ht="14.25" customHeight="1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</row>
    <row r="364" ht="14.25" customHeight="1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</row>
    <row r="365" ht="14.25" customHeight="1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</row>
    <row r="366" ht="14.25" customHeight="1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</row>
    <row r="367" ht="14.25" customHeight="1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</row>
    <row r="368" ht="14.25" customHeight="1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</row>
    <row r="369" ht="14.25" customHeight="1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</row>
    <row r="370" ht="14.25" customHeight="1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</row>
    <row r="371" ht="14.25" customHeight="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</row>
    <row r="372" ht="14.25" customHeight="1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</row>
    <row r="373" ht="14.25" customHeight="1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</row>
    <row r="374" ht="14.25" customHeight="1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</row>
    <row r="375" ht="14.25" customHeight="1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</row>
    <row r="376" ht="14.25" customHeight="1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</row>
    <row r="377" ht="14.25" customHeight="1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</row>
    <row r="378" ht="14.25" customHeight="1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</row>
    <row r="379" ht="14.25" customHeight="1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</row>
    <row r="380" ht="14.25" customHeight="1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</row>
    <row r="381" ht="14.25" customHeight="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</row>
    <row r="382" ht="14.25" customHeight="1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</row>
    <row r="383" ht="14.25" customHeight="1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</row>
    <row r="384" ht="14.25" customHeight="1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</row>
    <row r="385" ht="14.25" customHeight="1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</row>
    <row r="386" ht="14.25" customHeight="1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</row>
    <row r="387" ht="14.25" customHeight="1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</row>
    <row r="388" ht="14.25" customHeight="1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</row>
    <row r="389" ht="14.25" customHeight="1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</row>
    <row r="390" ht="14.25" customHeight="1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</row>
    <row r="391" ht="14.25" customHeight="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</row>
    <row r="392" ht="14.25" customHeight="1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</row>
    <row r="393" ht="14.25" customHeight="1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</row>
    <row r="394" ht="14.25" customHeight="1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</row>
    <row r="395" ht="14.25" customHeight="1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</row>
    <row r="396" ht="14.25" customHeight="1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</row>
    <row r="397" ht="14.25" customHeight="1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</row>
    <row r="398" ht="14.25" customHeight="1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</row>
    <row r="399" ht="14.25" customHeight="1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</row>
    <row r="400" ht="14.25" customHeight="1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</row>
    <row r="401" ht="14.25" customHeight="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</row>
    <row r="402" ht="14.25" customHeight="1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</row>
    <row r="403" ht="14.25" customHeight="1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</row>
    <row r="404" ht="14.25" customHeight="1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</row>
    <row r="405" ht="14.25" customHeight="1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</row>
    <row r="406" ht="14.25" customHeight="1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</row>
    <row r="407" ht="14.25" customHeight="1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</row>
    <row r="408" ht="14.25" customHeight="1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</row>
    <row r="409" ht="14.25" customHeight="1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</row>
    <row r="410" ht="14.25" customHeight="1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</row>
    <row r="411" ht="14.25" customHeight="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</row>
    <row r="412" ht="14.25" customHeight="1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</row>
    <row r="413" ht="14.25" customHeight="1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</row>
    <row r="414" ht="14.25" customHeight="1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</row>
    <row r="415" ht="14.25" customHeight="1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</row>
    <row r="416" ht="14.25" customHeight="1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</row>
    <row r="417" ht="14.25" customHeight="1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</row>
    <row r="418" ht="14.25" customHeight="1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</row>
    <row r="419" ht="14.25" customHeight="1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</row>
    <row r="420" ht="14.25" customHeight="1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</row>
    <row r="421" ht="14.25" customHeight="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</row>
    <row r="422" ht="14.25" customHeight="1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</row>
    <row r="423" ht="14.25" customHeight="1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</row>
    <row r="424" ht="14.25" customHeight="1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</row>
    <row r="425" ht="14.25" customHeight="1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</row>
    <row r="426" ht="14.25" customHeight="1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</row>
    <row r="427" ht="14.25" customHeight="1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</row>
    <row r="428" ht="14.25" customHeight="1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</row>
    <row r="429" ht="14.25" customHeight="1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</row>
    <row r="430" ht="14.25" customHeight="1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</row>
    <row r="431" ht="14.25" customHeight="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</row>
    <row r="432" ht="14.25" customHeight="1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</row>
    <row r="433" ht="14.25" customHeight="1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</row>
    <row r="434" ht="14.25" customHeight="1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</row>
    <row r="435" ht="14.25" customHeight="1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</row>
    <row r="436" ht="14.25" customHeight="1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</row>
    <row r="437" ht="14.25" customHeight="1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</row>
    <row r="438" ht="14.25" customHeight="1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</row>
    <row r="439" ht="14.25" customHeight="1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</row>
    <row r="440" ht="14.25" customHeight="1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</row>
    <row r="441" ht="14.25" customHeight="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</row>
    <row r="442" ht="14.25" customHeight="1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</row>
    <row r="443" ht="14.25" customHeight="1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</row>
    <row r="444" ht="14.25" customHeight="1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</row>
    <row r="445" ht="14.25" customHeight="1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</row>
    <row r="446" ht="14.25" customHeight="1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</row>
    <row r="447" ht="14.25" customHeight="1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</row>
    <row r="448" ht="14.25" customHeight="1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</row>
    <row r="449" ht="14.25" customHeight="1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</row>
    <row r="450" ht="14.25" customHeight="1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</row>
    <row r="451" ht="14.25" customHeight="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</row>
    <row r="452" ht="14.25" customHeight="1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</row>
    <row r="453" ht="14.25" customHeight="1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</row>
    <row r="454" ht="14.25" customHeight="1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</row>
    <row r="455" ht="14.25" customHeight="1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</row>
    <row r="456" ht="14.25" customHeight="1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</row>
    <row r="457" ht="14.25" customHeight="1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</row>
    <row r="458" ht="14.25" customHeight="1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</row>
    <row r="459" ht="14.25" customHeight="1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</row>
    <row r="460" ht="14.25" customHeight="1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</row>
    <row r="461" ht="14.25" customHeight="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</row>
    <row r="462" ht="14.25" customHeight="1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</row>
    <row r="463" ht="14.25" customHeight="1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</row>
    <row r="464" ht="14.25" customHeight="1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</row>
    <row r="465" ht="14.25" customHeight="1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</row>
    <row r="466" ht="14.25" customHeight="1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</row>
    <row r="467" ht="14.25" customHeight="1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</row>
    <row r="468" ht="14.25" customHeight="1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</row>
    <row r="469" ht="14.25" customHeight="1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</row>
    <row r="470" ht="14.25" customHeight="1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</row>
    <row r="471" ht="14.25" customHeight="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</row>
    <row r="472" ht="14.25" customHeight="1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</row>
    <row r="473" ht="14.25" customHeight="1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</row>
    <row r="474" ht="14.25" customHeight="1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</row>
    <row r="475" ht="14.25" customHeight="1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</row>
    <row r="476" ht="14.25" customHeight="1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</row>
    <row r="477" ht="14.25" customHeight="1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</row>
    <row r="478" ht="14.25" customHeight="1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</row>
    <row r="479" ht="14.25" customHeight="1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</row>
    <row r="480" ht="14.25" customHeight="1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</row>
    <row r="481" ht="14.25" customHeight="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</row>
    <row r="482" ht="14.25" customHeight="1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</row>
    <row r="483" ht="14.25" customHeight="1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</row>
    <row r="484" ht="14.25" customHeight="1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</row>
    <row r="485" ht="14.25" customHeight="1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</row>
    <row r="486" ht="14.25" customHeight="1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</row>
    <row r="487" ht="14.25" customHeight="1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</row>
    <row r="488" ht="14.25" customHeight="1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</row>
    <row r="489" ht="14.25" customHeight="1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</row>
    <row r="490" ht="14.25" customHeight="1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</row>
    <row r="491" ht="14.25" customHeight="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</row>
    <row r="492" ht="14.25" customHeight="1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</row>
    <row r="493" ht="14.25" customHeight="1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</row>
    <row r="494" ht="14.25" customHeight="1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</row>
    <row r="495" ht="14.25" customHeight="1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</row>
    <row r="496" ht="14.25" customHeight="1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</row>
    <row r="497" ht="14.25" customHeight="1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</row>
    <row r="498" ht="14.25" customHeight="1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</row>
    <row r="499" ht="14.25" customHeight="1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</row>
    <row r="500" ht="14.25" customHeight="1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</row>
    <row r="501" ht="14.25" customHeight="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</row>
    <row r="502" ht="14.25" customHeight="1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</row>
    <row r="503" ht="14.25" customHeight="1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</row>
    <row r="504" ht="14.25" customHeight="1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</row>
    <row r="505" ht="14.25" customHeight="1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</row>
    <row r="506" ht="14.25" customHeight="1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</row>
    <row r="507" ht="14.25" customHeight="1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</row>
    <row r="508" ht="14.25" customHeight="1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</row>
    <row r="509" ht="14.25" customHeight="1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</row>
    <row r="510" ht="14.25" customHeight="1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</row>
    <row r="511" ht="14.25" customHeight="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</row>
    <row r="512" ht="14.25" customHeight="1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</row>
    <row r="513" ht="14.25" customHeight="1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</row>
    <row r="514" ht="14.25" customHeight="1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</row>
    <row r="515" ht="14.25" customHeight="1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</row>
    <row r="516" ht="14.25" customHeight="1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</row>
    <row r="517" ht="14.25" customHeight="1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</row>
    <row r="518" ht="14.25" customHeight="1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</row>
    <row r="519" ht="14.25" customHeight="1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</row>
    <row r="520" ht="14.25" customHeight="1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</row>
    <row r="521" ht="14.25" customHeight="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</row>
    <row r="522" ht="14.25" customHeight="1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</row>
    <row r="523" ht="14.25" customHeight="1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</row>
    <row r="524" ht="14.25" customHeight="1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</row>
    <row r="525" ht="14.25" customHeight="1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</row>
    <row r="526" ht="14.25" customHeight="1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</row>
    <row r="527" ht="14.25" customHeight="1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</row>
    <row r="528" ht="14.25" customHeight="1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</row>
    <row r="529" ht="14.25" customHeight="1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</row>
    <row r="530" ht="14.25" customHeight="1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</row>
    <row r="531" ht="14.25" customHeight="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</row>
    <row r="532" ht="14.25" customHeight="1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</row>
    <row r="533" ht="14.25" customHeight="1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</row>
    <row r="534" ht="14.25" customHeight="1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</row>
    <row r="535" ht="14.25" customHeight="1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</row>
    <row r="536" ht="14.25" customHeight="1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</row>
    <row r="537" ht="14.25" customHeight="1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</row>
    <row r="538" ht="14.25" customHeight="1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</row>
    <row r="539" ht="14.25" customHeight="1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</row>
    <row r="540" ht="14.25" customHeight="1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</row>
    <row r="541" ht="14.25" customHeight="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</row>
    <row r="542" ht="14.25" customHeight="1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</row>
    <row r="543" ht="14.25" customHeight="1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</row>
    <row r="544" ht="14.25" customHeight="1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</row>
    <row r="545" ht="14.25" customHeight="1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</row>
    <row r="546" ht="14.25" customHeight="1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</row>
    <row r="547" ht="14.25" customHeight="1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</row>
    <row r="548" ht="14.25" customHeight="1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</row>
    <row r="549" ht="14.25" customHeight="1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</row>
    <row r="550" ht="14.25" customHeight="1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</row>
    <row r="551" ht="14.25" customHeight="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</row>
    <row r="552" ht="14.25" customHeight="1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</row>
    <row r="553" ht="14.25" customHeight="1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</row>
    <row r="554" ht="14.25" customHeight="1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</row>
    <row r="555" ht="14.25" customHeight="1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</row>
    <row r="556" ht="14.25" customHeight="1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</row>
    <row r="557" ht="14.25" customHeight="1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</row>
    <row r="558" ht="14.25" customHeight="1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</row>
    <row r="559" ht="14.25" customHeight="1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</row>
    <row r="560" ht="14.25" customHeight="1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</row>
    <row r="561" ht="14.25" customHeight="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</row>
    <row r="562" ht="14.25" customHeight="1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</row>
    <row r="563" ht="14.25" customHeight="1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</row>
    <row r="564" ht="14.25" customHeight="1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</row>
    <row r="565" ht="14.25" customHeight="1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</row>
    <row r="566" ht="14.25" customHeight="1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</row>
    <row r="567" ht="14.25" customHeight="1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</row>
    <row r="568" ht="14.25" customHeight="1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</row>
    <row r="569" ht="14.25" customHeight="1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</row>
    <row r="570" ht="14.25" customHeight="1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</row>
    <row r="571" ht="14.25" customHeight="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</row>
    <row r="572" ht="14.25" customHeight="1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</row>
    <row r="573" ht="14.25" customHeight="1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</row>
    <row r="574" ht="14.25" customHeight="1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</row>
    <row r="575" ht="14.25" customHeight="1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</row>
    <row r="576" ht="14.25" customHeight="1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</row>
    <row r="577" ht="14.25" customHeight="1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</row>
    <row r="578" ht="14.25" customHeight="1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</row>
    <row r="579" ht="14.25" customHeight="1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</row>
    <row r="580" ht="14.25" customHeight="1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</row>
    <row r="581" ht="14.25" customHeight="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</row>
    <row r="582" ht="14.25" customHeight="1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</row>
    <row r="583" ht="14.25" customHeight="1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</row>
    <row r="584" ht="14.25" customHeight="1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</row>
    <row r="585" ht="14.25" customHeight="1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</row>
    <row r="586" ht="14.25" customHeight="1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</row>
    <row r="587" ht="14.25" customHeight="1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</row>
    <row r="588" ht="14.25" customHeight="1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</row>
    <row r="589" ht="14.25" customHeight="1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</row>
    <row r="590" ht="14.25" customHeight="1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</row>
    <row r="591" ht="14.25" customHeight="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</row>
    <row r="592" ht="14.25" customHeight="1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</row>
    <row r="593" ht="14.25" customHeight="1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</row>
    <row r="594" ht="14.25" customHeight="1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</row>
    <row r="595" ht="14.25" customHeight="1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</row>
    <row r="596" ht="14.25" customHeight="1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</row>
    <row r="597" ht="14.25" customHeight="1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</row>
    <row r="598" ht="14.25" customHeight="1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</row>
    <row r="599" ht="14.25" customHeight="1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</row>
    <row r="600" ht="14.25" customHeight="1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</row>
    <row r="601" ht="14.25" customHeight="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</row>
    <row r="602" ht="14.25" customHeight="1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</row>
    <row r="603" ht="14.25" customHeight="1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</row>
    <row r="604" ht="14.25" customHeight="1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</row>
    <row r="605" ht="14.25" customHeight="1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</row>
    <row r="606" ht="14.25" customHeight="1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</row>
    <row r="607" ht="14.25" customHeight="1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</row>
    <row r="608" ht="14.25" customHeight="1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</row>
    <row r="609" ht="14.25" customHeight="1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</row>
    <row r="610" ht="14.25" customHeight="1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</row>
    <row r="611" ht="14.25" customHeight="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</row>
    <row r="612" ht="14.25" customHeight="1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</row>
    <row r="613" ht="14.25" customHeight="1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</row>
    <row r="614" ht="14.25" customHeight="1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</row>
    <row r="615" ht="14.25" customHeight="1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</row>
    <row r="616" ht="14.25" customHeight="1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</row>
    <row r="617" ht="14.25" customHeight="1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</row>
    <row r="618" ht="14.25" customHeight="1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</row>
    <row r="619" ht="14.25" customHeight="1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</row>
    <row r="620" ht="14.25" customHeight="1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</row>
    <row r="621" ht="14.25" customHeight="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</row>
    <row r="622" ht="14.25" customHeight="1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</row>
    <row r="623" ht="14.25" customHeight="1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</row>
    <row r="624" ht="14.25" customHeight="1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</row>
    <row r="625" ht="14.25" customHeight="1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</row>
    <row r="626" ht="14.25" customHeight="1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</row>
    <row r="627" ht="14.25" customHeight="1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</row>
    <row r="628" ht="14.25" customHeight="1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</row>
    <row r="629" ht="14.25" customHeight="1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</row>
    <row r="630" ht="14.25" customHeight="1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</row>
    <row r="631" ht="14.25" customHeight="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</row>
    <row r="632" ht="14.25" customHeight="1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</row>
    <row r="633" ht="14.25" customHeight="1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</row>
    <row r="634" ht="14.25" customHeight="1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</row>
    <row r="635" ht="14.25" customHeight="1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</row>
    <row r="636" ht="14.25" customHeight="1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</row>
    <row r="637" ht="14.25" customHeight="1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</row>
    <row r="638" ht="14.25" customHeight="1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</row>
    <row r="639" ht="14.25" customHeight="1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</row>
    <row r="640" ht="14.25" customHeight="1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</row>
    <row r="641" ht="14.25" customHeight="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</row>
    <row r="642" ht="14.25" customHeight="1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</row>
    <row r="643" ht="14.25" customHeight="1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</row>
    <row r="644" ht="14.25" customHeight="1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</row>
    <row r="645" ht="14.25" customHeight="1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</row>
    <row r="646" ht="14.25" customHeight="1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</row>
    <row r="647" ht="14.25" customHeight="1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</row>
    <row r="648" ht="14.25" customHeight="1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</row>
    <row r="649" ht="14.25" customHeight="1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</row>
    <row r="650" ht="14.25" customHeight="1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</row>
    <row r="651" ht="14.25" customHeight="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</row>
    <row r="652" ht="14.25" customHeight="1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</row>
    <row r="653" ht="14.25" customHeight="1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</row>
    <row r="654" ht="14.25" customHeight="1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</row>
    <row r="655" ht="14.25" customHeight="1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</row>
    <row r="656" ht="14.25" customHeight="1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</row>
    <row r="657" ht="14.25" customHeight="1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</row>
    <row r="658" ht="14.25" customHeight="1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</row>
    <row r="659" ht="14.25" customHeight="1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</row>
    <row r="660" ht="14.25" customHeight="1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</row>
    <row r="661" ht="14.25" customHeight="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</row>
    <row r="662" ht="14.25" customHeight="1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</row>
    <row r="663" ht="14.25" customHeight="1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</row>
    <row r="664" ht="14.25" customHeight="1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</row>
    <row r="665" ht="14.25" customHeight="1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 ht="14.25" customHeight="1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</row>
    <row r="667" ht="14.25" customHeight="1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</row>
    <row r="668" ht="14.25" customHeight="1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</row>
    <row r="669" ht="14.25" customHeight="1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</row>
    <row r="670" ht="14.25" customHeight="1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</row>
    <row r="671" ht="14.25" customHeight="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</row>
    <row r="672" ht="14.25" customHeight="1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</row>
    <row r="673" ht="14.25" customHeight="1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</row>
    <row r="674" ht="14.25" customHeight="1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</row>
    <row r="675" ht="14.25" customHeight="1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</row>
    <row r="676" ht="14.25" customHeight="1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</row>
    <row r="677" ht="14.25" customHeight="1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</row>
    <row r="678" ht="14.25" customHeight="1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</row>
    <row r="679" ht="14.25" customHeight="1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</row>
    <row r="680" ht="14.25" customHeight="1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</row>
    <row r="681" ht="14.25" customHeight="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</row>
    <row r="682" ht="14.25" customHeight="1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</row>
    <row r="683" ht="14.25" customHeight="1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</row>
    <row r="684" ht="14.25" customHeight="1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</row>
    <row r="685" ht="14.25" customHeight="1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</row>
    <row r="686" ht="14.25" customHeight="1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 ht="14.25" customHeight="1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</row>
    <row r="688" ht="14.25" customHeight="1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</row>
    <row r="689" ht="14.25" customHeight="1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</row>
    <row r="690" ht="14.25" customHeight="1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</row>
    <row r="691" ht="14.25" customHeight="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</row>
    <row r="692" ht="14.25" customHeight="1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</row>
    <row r="693" ht="14.25" customHeight="1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</row>
    <row r="694" ht="14.25" customHeight="1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</row>
    <row r="695" ht="14.25" customHeight="1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</row>
    <row r="696" ht="14.25" customHeight="1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</row>
    <row r="697" ht="14.25" customHeight="1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</row>
    <row r="698" ht="14.25" customHeight="1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</row>
    <row r="699" ht="14.25" customHeight="1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</row>
    <row r="700" ht="14.25" customHeight="1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 ht="14.25" customHeight="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</row>
    <row r="702" ht="14.25" customHeight="1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</row>
    <row r="703" ht="14.25" customHeight="1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</row>
    <row r="704" ht="14.25" customHeight="1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</row>
    <row r="705" ht="14.25" customHeight="1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 ht="14.25" customHeight="1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</row>
    <row r="707" ht="14.25" customHeight="1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 ht="14.25" customHeight="1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</row>
    <row r="709" ht="14.25" customHeight="1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</row>
    <row r="710" ht="14.25" customHeight="1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</row>
    <row r="711" ht="14.25" customHeight="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</row>
    <row r="712" ht="14.25" customHeight="1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</row>
    <row r="713" ht="14.25" customHeight="1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 ht="14.25" customHeight="1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</row>
    <row r="715" ht="14.25" customHeight="1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</row>
    <row r="716" ht="14.25" customHeight="1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</row>
    <row r="717" ht="14.25" customHeight="1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</row>
    <row r="718" ht="14.25" customHeight="1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</row>
    <row r="719" ht="14.25" customHeight="1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</row>
    <row r="720" ht="14.25" customHeight="1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</row>
    <row r="721" ht="14.25" customHeight="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</row>
    <row r="722" ht="14.25" customHeight="1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</row>
    <row r="723" ht="14.25" customHeight="1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</row>
    <row r="724" ht="14.25" customHeight="1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</row>
    <row r="725" ht="14.25" customHeight="1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</row>
    <row r="726" ht="14.25" customHeight="1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</row>
    <row r="727" ht="14.25" customHeight="1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</row>
    <row r="728" ht="14.25" customHeight="1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</row>
    <row r="729" ht="14.25" customHeight="1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</row>
    <row r="730" ht="14.25" customHeight="1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</row>
    <row r="731" ht="14.25" customHeight="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</row>
    <row r="732" ht="14.25" customHeight="1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</row>
    <row r="733" ht="14.25" customHeight="1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</row>
    <row r="734" ht="14.25" customHeight="1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</row>
    <row r="735" ht="14.25" customHeight="1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</row>
    <row r="736" ht="14.25" customHeight="1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</row>
    <row r="737" ht="14.25" customHeight="1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</row>
    <row r="738" ht="14.25" customHeight="1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</row>
    <row r="739" ht="14.25" customHeight="1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</row>
    <row r="740" ht="14.25" customHeight="1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</row>
    <row r="741" ht="14.25" customHeight="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</row>
    <row r="742" ht="14.25" customHeight="1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</row>
    <row r="743" ht="14.25" customHeight="1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</row>
    <row r="744" ht="14.25" customHeight="1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</row>
    <row r="745" ht="14.25" customHeight="1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</row>
    <row r="746" ht="14.25" customHeight="1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</row>
    <row r="747" ht="14.25" customHeight="1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</row>
    <row r="748" ht="14.25" customHeight="1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</row>
    <row r="749" ht="14.25" customHeight="1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</row>
    <row r="750" ht="14.25" customHeight="1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</row>
    <row r="751" ht="14.25" customHeight="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</row>
    <row r="752" ht="14.25" customHeight="1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</row>
    <row r="753" ht="14.25" customHeight="1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</row>
    <row r="754" ht="14.25" customHeight="1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</row>
    <row r="755" ht="14.25" customHeight="1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</row>
    <row r="756" ht="14.25" customHeight="1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</row>
    <row r="757" ht="14.25" customHeight="1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</row>
    <row r="758" ht="14.25" customHeight="1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</row>
    <row r="759" ht="14.25" customHeight="1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</row>
    <row r="760" ht="14.25" customHeight="1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</row>
    <row r="761" ht="14.25" customHeight="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</row>
    <row r="762" ht="14.25" customHeight="1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</row>
    <row r="763" ht="14.25" customHeight="1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</row>
    <row r="764" ht="14.25" customHeight="1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</row>
    <row r="765" ht="14.25" customHeight="1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</row>
    <row r="766" ht="14.25" customHeight="1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</row>
    <row r="767" ht="14.25" customHeight="1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</row>
    <row r="768" ht="14.25" customHeight="1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</row>
    <row r="769" ht="14.25" customHeight="1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</row>
    <row r="770" ht="14.25" customHeight="1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</row>
    <row r="771" ht="14.25" customHeight="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</row>
    <row r="772" ht="14.25" customHeight="1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</row>
    <row r="773" ht="14.25" customHeight="1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</row>
    <row r="774" ht="14.25" customHeight="1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</row>
    <row r="775" ht="14.25" customHeight="1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</row>
    <row r="776" ht="14.25" customHeight="1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</row>
    <row r="777" ht="14.25" customHeight="1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</row>
    <row r="778" ht="14.25" customHeight="1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</row>
    <row r="779" ht="14.25" customHeight="1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</row>
    <row r="780" ht="14.25" customHeight="1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</row>
    <row r="781" ht="14.25" customHeight="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</row>
    <row r="782" ht="14.25" customHeight="1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</row>
    <row r="783" ht="14.25" customHeight="1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</row>
    <row r="784" ht="14.25" customHeight="1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</row>
    <row r="785" ht="14.25" customHeight="1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</row>
    <row r="786" ht="14.25" customHeight="1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</row>
    <row r="787" ht="14.25" customHeight="1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</row>
    <row r="788" ht="14.25" customHeight="1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</row>
    <row r="789" ht="14.25" customHeight="1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</row>
    <row r="790" ht="14.25" customHeight="1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</row>
    <row r="791" ht="14.25" customHeight="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</row>
    <row r="792" ht="14.25" customHeight="1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</row>
    <row r="793" ht="14.25" customHeight="1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</row>
    <row r="794" ht="14.25" customHeight="1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</row>
    <row r="795" ht="14.25" customHeight="1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</row>
    <row r="796" ht="14.25" customHeight="1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</row>
    <row r="797" ht="14.25" customHeight="1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</row>
    <row r="798" ht="14.25" customHeight="1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</row>
    <row r="799" ht="14.25" customHeight="1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</row>
    <row r="800" ht="14.25" customHeight="1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</row>
    <row r="801" ht="14.25" customHeight="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 ht="14.25" customHeight="1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</row>
    <row r="803" ht="14.25" customHeight="1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</row>
    <row r="804" ht="14.25" customHeight="1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</row>
    <row r="805" ht="14.25" customHeight="1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</row>
    <row r="806" ht="14.25" customHeight="1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</row>
    <row r="807" ht="14.25" customHeight="1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</row>
    <row r="808" ht="14.25" customHeight="1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</row>
    <row r="809" ht="14.25" customHeight="1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</row>
    <row r="810" ht="14.25" customHeight="1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</row>
    <row r="811" ht="14.25" customHeight="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</row>
    <row r="812" ht="14.25" customHeight="1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</row>
    <row r="813" ht="14.25" customHeight="1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</row>
    <row r="814" ht="14.25" customHeight="1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</row>
    <row r="815" ht="14.25" customHeight="1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</row>
    <row r="816" ht="14.25" customHeight="1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</row>
    <row r="817" ht="14.25" customHeight="1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</row>
    <row r="818" ht="14.25" customHeight="1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</row>
    <row r="819" ht="14.25" customHeight="1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</row>
    <row r="820" ht="14.25" customHeight="1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</row>
    <row r="821" ht="14.25" customHeight="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</row>
    <row r="822" ht="14.25" customHeight="1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</row>
    <row r="823" ht="14.25" customHeight="1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</row>
    <row r="824" ht="14.25" customHeight="1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</row>
    <row r="825" ht="14.25" customHeight="1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</row>
    <row r="826" ht="14.25" customHeight="1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</row>
    <row r="827" ht="14.25" customHeight="1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</row>
    <row r="828" ht="14.25" customHeight="1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</row>
    <row r="829" ht="14.25" customHeight="1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</row>
    <row r="830" ht="14.25" customHeight="1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</row>
    <row r="831" ht="14.25" customHeight="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</row>
    <row r="832" ht="14.25" customHeight="1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</row>
    <row r="833" ht="14.25" customHeight="1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</row>
    <row r="834" ht="14.25" customHeight="1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</row>
    <row r="835" ht="14.25" customHeight="1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</row>
    <row r="836" ht="14.25" customHeight="1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</row>
    <row r="837" ht="14.25" customHeight="1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</row>
    <row r="838" ht="14.25" customHeight="1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</row>
    <row r="839" ht="14.25" customHeight="1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</row>
    <row r="840" ht="14.25" customHeight="1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</row>
    <row r="841" ht="14.25" customHeight="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</row>
    <row r="842" ht="14.25" customHeight="1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</row>
    <row r="843" ht="14.25" customHeight="1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</row>
    <row r="844" ht="14.25" customHeight="1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</row>
    <row r="845" ht="14.25" customHeight="1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</row>
    <row r="846" ht="14.25" customHeight="1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</row>
    <row r="847" ht="14.25" customHeight="1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</row>
    <row r="848" ht="14.25" customHeight="1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</row>
    <row r="849" ht="14.25" customHeight="1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</row>
    <row r="850" ht="14.25" customHeight="1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</row>
    <row r="851" ht="14.25" customHeight="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</row>
    <row r="852" ht="14.25" customHeight="1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</row>
    <row r="853" ht="14.25" customHeight="1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</row>
    <row r="854" ht="14.25" customHeight="1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</row>
    <row r="855" ht="14.25" customHeight="1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</row>
    <row r="856" ht="14.25" customHeight="1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</row>
    <row r="857" ht="14.25" customHeight="1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</row>
    <row r="858" ht="14.25" customHeight="1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</row>
    <row r="859" ht="14.25" customHeight="1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</row>
    <row r="860" ht="14.25" customHeight="1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</row>
    <row r="861" ht="14.25" customHeight="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</row>
    <row r="862" ht="14.25" customHeight="1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</row>
    <row r="863" ht="14.25" customHeight="1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</row>
    <row r="864" ht="14.25" customHeight="1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</row>
    <row r="865" ht="14.25" customHeight="1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</row>
    <row r="866" ht="14.25" customHeight="1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</row>
    <row r="867" ht="14.25" customHeight="1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</row>
    <row r="868" ht="14.25" customHeight="1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</row>
    <row r="869" ht="14.25" customHeight="1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</row>
    <row r="870" ht="14.25" customHeight="1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</row>
    <row r="871" ht="14.25" customHeight="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</row>
    <row r="872" ht="14.25" customHeight="1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</row>
    <row r="873" ht="14.25" customHeight="1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</row>
    <row r="874" ht="14.25" customHeight="1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</row>
    <row r="875" ht="14.25" customHeight="1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</row>
    <row r="876" ht="14.25" customHeight="1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</row>
    <row r="877" ht="14.25" customHeight="1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</row>
    <row r="878" ht="14.25" customHeight="1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</row>
    <row r="879" ht="14.25" customHeight="1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</row>
    <row r="880" ht="14.25" customHeight="1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</row>
    <row r="881" ht="14.25" customHeight="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</row>
    <row r="882" ht="14.25" customHeight="1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</row>
    <row r="883" ht="14.25" customHeight="1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</row>
    <row r="884" ht="14.25" customHeight="1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</row>
    <row r="885" ht="14.25" customHeight="1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</row>
    <row r="886" ht="14.25" customHeight="1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</row>
    <row r="887" ht="14.25" customHeight="1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</row>
    <row r="888" ht="14.25" customHeight="1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</row>
    <row r="889" ht="14.25" customHeight="1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</row>
    <row r="890" ht="14.25" customHeight="1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</row>
    <row r="891" ht="14.25" customHeight="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</row>
    <row r="892" ht="14.25" customHeight="1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</row>
    <row r="893" ht="14.25" customHeight="1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</row>
    <row r="894" ht="14.25" customHeight="1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</row>
    <row r="895" ht="14.25" customHeight="1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</row>
    <row r="896" ht="14.25" customHeight="1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 ht="14.25" customHeight="1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</row>
    <row r="898" ht="14.25" customHeight="1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</row>
    <row r="899" ht="14.25" customHeight="1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</row>
    <row r="900" ht="14.25" customHeight="1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</row>
    <row r="901" ht="14.25" customHeight="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</row>
    <row r="902" ht="14.25" customHeight="1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</row>
    <row r="903" ht="14.25" customHeight="1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 ht="14.25" customHeight="1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</row>
    <row r="905" ht="14.25" customHeight="1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</row>
    <row r="906" ht="14.25" customHeight="1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</row>
    <row r="907" ht="14.25" customHeight="1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</row>
    <row r="908" ht="14.25" customHeight="1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</row>
    <row r="909" ht="14.25" customHeight="1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</row>
    <row r="910" ht="14.25" customHeight="1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</row>
    <row r="911" ht="14.25" customHeight="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</row>
    <row r="912" ht="14.25" customHeight="1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</row>
    <row r="913" ht="14.25" customHeight="1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</row>
    <row r="914" ht="14.25" customHeight="1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</row>
    <row r="915" ht="14.25" customHeight="1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</row>
    <row r="916" ht="14.25" customHeight="1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</row>
    <row r="917" ht="14.25" customHeight="1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</row>
    <row r="918" ht="14.25" customHeight="1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</row>
    <row r="919" ht="14.25" customHeight="1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</row>
    <row r="920" ht="14.25" customHeight="1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</row>
    <row r="921" ht="14.25" customHeight="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</row>
    <row r="922" ht="14.25" customHeight="1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</row>
    <row r="923" ht="14.25" customHeight="1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</row>
    <row r="924" ht="14.25" customHeight="1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</row>
    <row r="925" ht="14.25" customHeight="1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</row>
    <row r="926" ht="14.25" customHeight="1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</row>
    <row r="927" ht="14.25" customHeight="1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</row>
    <row r="928" ht="14.25" customHeight="1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</row>
    <row r="929" ht="14.25" customHeight="1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</row>
    <row r="930" ht="14.25" customHeight="1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</row>
    <row r="931" ht="14.25" customHeight="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</row>
    <row r="932" ht="14.25" customHeight="1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</row>
    <row r="933" ht="14.25" customHeight="1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</row>
    <row r="934" ht="14.25" customHeight="1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</row>
    <row r="935" ht="14.25" customHeight="1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</row>
    <row r="936" ht="14.25" customHeight="1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</row>
    <row r="937" ht="14.25" customHeight="1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</row>
    <row r="938" ht="14.25" customHeight="1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</row>
    <row r="939" ht="14.25" customHeight="1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</row>
    <row r="940" ht="14.25" customHeight="1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</row>
    <row r="941" ht="14.25" customHeight="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</row>
    <row r="942" ht="14.25" customHeight="1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</row>
    <row r="943" ht="14.25" customHeight="1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</row>
    <row r="944" ht="14.25" customHeight="1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</row>
    <row r="945" ht="14.25" customHeight="1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</row>
    <row r="946" ht="14.25" customHeight="1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</row>
    <row r="947" ht="14.25" customHeight="1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</row>
    <row r="948" ht="14.25" customHeight="1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</row>
    <row r="949" ht="14.25" customHeight="1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</row>
    <row r="950" ht="14.25" customHeight="1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</row>
    <row r="951" ht="14.25" customHeight="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</row>
    <row r="952" ht="14.25" customHeight="1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</row>
    <row r="953" ht="14.25" customHeight="1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</row>
    <row r="954" ht="14.25" customHeight="1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</row>
    <row r="955" ht="14.25" customHeight="1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</row>
    <row r="956" ht="14.25" customHeight="1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</row>
    <row r="957" ht="14.25" customHeight="1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</row>
    <row r="958" ht="14.25" customHeight="1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</row>
    <row r="959" ht="14.25" customHeight="1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</row>
    <row r="960" ht="14.25" customHeight="1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</row>
    <row r="961" ht="14.25" customHeight="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</row>
    <row r="962" ht="14.25" customHeight="1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</row>
    <row r="963" ht="14.25" customHeight="1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</row>
    <row r="964" ht="14.25" customHeight="1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</row>
    <row r="965" ht="14.25" customHeight="1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</row>
    <row r="966" ht="14.25" customHeight="1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</row>
    <row r="967" ht="14.25" customHeight="1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</row>
    <row r="968" ht="14.25" customHeight="1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</row>
    <row r="969" ht="14.25" customHeight="1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</row>
    <row r="970" ht="14.25" customHeight="1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</row>
    <row r="971" ht="14.25" customHeight="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</row>
    <row r="972" ht="14.25" customHeight="1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</row>
    <row r="973" ht="14.25" customHeight="1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</row>
    <row r="974" ht="14.25" customHeight="1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</row>
    <row r="975" ht="14.25" customHeight="1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</row>
    <row r="976" ht="14.25" customHeight="1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</row>
    <row r="977" ht="14.25" customHeight="1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</row>
    <row r="978" ht="14.25" customHeight="1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</row>
    <row r="979" ht="14.25" customHeight="1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</row>
    <row r="980" ht="14.25" customHeight="1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</row>
    <row r="981" ht="14.25" customHeight="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</row>
    <row r="982" ht="14.25" customHeight="1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</row>
    <row r="983" ht="14.25" customHeight="1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</row>
    <row r="984" ht="14.25" customHeight="1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</row>
    <row r="985" ht="14.25" customHeight="1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</row>
    <row r="986" ht="14.25" customHeight="1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</row>
    <row r="987" ht="14.25" customHeight="1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</row>
    <row r="988" ht="14.25" customHeight="1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</row>
    <row r="989" ht="14.25" customHeight="1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</row>
    <row r="990" ht="14.25" customHeight="1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</row>
    <row r="991" ht="14.25" customHeight="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</row>
    <row r="992" ht="14.25" customHeight="1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</row>
    <row r="993" ht="14.25" customHeight="1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</row>
    <row r="994" ht="14.25" customHeight="1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</row>
    <row r="995" ht="14.25" customHeight="1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</row>
    <row r="996" ht="14.25" customHeight="1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</row>
    <row r="997" ht="14.25" customHeight="1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</row>
    <row r="998" ht="14.25" customHeight="1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</row>
    <row r="999" ht="14.25" customHeight="1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</row>
    <row r="1000" ht="14.25" customHeight="1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</row>
    <row r="1001" ht="14.25" customHeight="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</row>
    <row r="1002" ht="14.25" customHeight="1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</row>
    <row r="1003" ht="14.25" customHeight="1">
      <c r="A1003" s="101"/>
      <c r="B1003" s="101"/>
      <c r="C1003" s="101"/>
      <c r="D1003" s="101"/>
      <c r="E1003" s="101"/>
      <c r="F1003" s="101"/>
      <c r="G1003" s="101"/>
      <c r="H1003" s="101"/>
      <c r="I1003" s="101"/>
      <c r="J1003" s="101"/>
      <c r="K1003" s="101"/>
      <c r="L1003" s="101"/>
      <c r="M1003" s="101"/>
      <c r="N1003" s="101"/>
      <c r="O1003" s="101"/>
      <c r="P1003" s="101"/>
      <c r="Q1003" s="101"/>
      <c r="R1003" s="101"/>
      <c r="S1003" s="101"/>
      <c r="T1003" s="101"/>
      <c r="U1003" s="101"/>
      <c r="V1003" s="101"/>
      <c r="W1003" s="101"/>
      <c r="X1003" s="101"/>
      <c r="Y1003" s="101"/>
      <c r="Z1003" s="101"/>
      <c r="AA1003" s="101"/>
    </row>
    <row r="1004" ht="14.25" customHeight="1">
      <c r="A1004" s="101"/>
      <c r="B1004" s="101"/>
      <c r="C1004" s="101"/>
      <c r="D1004" s="101"/>
      <c r="E1004" s="101"/>
      <c r="F1004" s="101"/>
      <c r="G1004" s="101"/>
      <c r="H1004" s="101"/>
      <c r="I1004" s="101"/>
      <c r="J1004" s="101"/>
      <c r="K1004" s="101"/>
      <c r="L1004" s="101"/>
      <c r="M1004" s="101"/>
      <c r="N1004" s="101"/>
      <c r="O1004" s="101"/>
      <c r="P1004" s="101"/>
      <c r="Q1004" s="101"/>
      <c r="R1004" s="101"/>
      <c r="S1004" s="101"/>
      <c r="T1004" s="101"/>
      <c r="U1004" s="101"/>
      <c r="V1004" s="101"/>
      <c r="W1004" s="101"/>
      <c r="X1004" s="101"/>
      <c r="Y1004" s="101"/>
      <c r="Z1004" s="101"/>
      <c r="AA1004" s="101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8.14"/>
  </cols>
  <sheetData>
    <row r="1">
      <c r="A1" s="19"/>
    </row>
    <row r="2">
      <c r="A2" s="110" t="s">
        <v>193</v>
      </c>
    </row>
    <row r="3">
      <c r="A3" s="110" t="s">
        <v>194</v>
      </c>
      <c r="B3" s="76" t="s">
        <v>195</v>
      </c>
    </row>
    <row r="4">
      <c r="A4" s="110" t="s">
        <v>198</v>
      </c>
      <c r="B4" s="76" t="s">
        <v>199</v>
      </c>
    </row>
    <row r="5">
      <c r="A5" s="111"/>
    </row>
    <row r="6">
      <c r="A6" s="111" t="s">
        <v>202</v>
      </c>
      <c r="B6" s="76" t="s">
        <v>195</v>
      </c>
    </row>
    <row r="7">
      <c r="A7" s="110" t="s">
        <v>204</v>
      </c>
    </row>
    <row r="8">
      <c r="A8" s="111" t="s">
        <v>215</v>
      </c>
    </row>
    <row r="9">
      <c r="A9" s="111"/>
    </row>
    <row r="10">
      <c r="A10" s="111" t="s">
        <v>218</v>
      </c>
    </row>
    <row r="11">
      <c r="A11" s="110"/>
    </row>
    <row r="12">
      <c r="A12" s="110" t="s">
        <v>219</v>
      </c>
    </row>
    <row r="13">
      <c r="A13" s="111" t="s">
        <v>220</v>
      </c>
      <c r="B13" s="76" t="s">
        <v>199</v>
      </c>
    </row>
    <row r="14">
      <c r="A14" s="111" t="s">
        <v>222</v>
      </c>
      <c r="B14" s="76" t="s">
        <v>195</v>
      </c>
    </row>
    <row r="15">
      <c r="A15" s="111" t="s">
        <v>223</v>
      </c>
      <c r="B15" s="76" t="s">
        <v>199</v>
      </c>
    </row>
    <row r="16">
      <c r="A16" s="111" t="s">
        <v>224</v>
      </c>
      <c r="B16" s="76" t="s">
        <v>195</v>
      </c>
    </row>
    <row r="17">
      <c r="A17" s="111" t="s">
        <v>225</v>
      </c>
      <c r="B17" s="76" t="s">
        <v>199</v>
      </c>
    </row>
    <row r="18">
      <c r="A18" s="111" t="s">
        <v>226</v>
      </c>
      <c r="B18" s="76" t="s">
        <v>195</v>
      </c>
    </row>
    <row r="19">
      <c r="A19" s="111" t="s">
        <v>227</v>
      </c>
      <c r="B19" s="76" t="s">
        <v>195</v>
      </c>
    </row>
    <row r="20">
      <c r="A20" s="110"/>
    </row>
    <row r="21">
      <c r="A21" s="110" t="s">
        <v>228</v>
      </c>
    </row>
    <row r="22">
      <c r="A22" s="111"/>
    </row>
    <row r="23">
      <c r="A23" s="110" t="s">
        <v>229</v>
      </c>
    </row>
    <row r="24">
      <c r="A24" s="111" t="s">
        <v>230</v>
      </c>
      <c r="B24" s="76" t="s">
        <v>195</v>
      </c>
    </row>
    <row r="25">
      <c r="A25" s="111" t="s">
        <v>231</v>
      </c>
      <c r="B25" s="76" t="str">
        <f t="shared" ref="B25:B28" si="1">MID(A25,FIND(" ",A25) + 1,FIND(CHAR(160),SUBSTITUTE(A25," ",CHAR(160),2)) - 1 - (FIND(" ",A25)))</f>
        <v>chi</v>
      </c>
    </row>
    <row r="26">
      <c r="A26" s="111" t="s">
        <v>235</v>
      </c>
      <c r="B26" s="76" t="str">
        <f t="shared" si="1"/>
        <v>thu</v>
      </c>
    </row>
    <row r="27">
      <c r="A27" s="111" t="s">
        <v>236</v>
      </c>
      <c r="B27" s="76" t="str">
        <f t="shared" si="1"/>
        <v>chi</v>
      </c>
    </row>
    <row r="28">
      <c r="A28" s="111" t="s">
        <v>237</v>
      </c>
      <c r="B28" s="76" t="str">
        <f t="shared" si="1"/>
        <v>chi</v>
      </c>
    </row>
    <row r="29">
      <c r="A29" s="110" t="s">
        <v>238</v>
      </c>
      <c r="B29" s="76" t="s">
        <v>199</v>
      </c>
    </row>
    <row r="30">
      <c r="A30" s="110" t="s">
        <v>239</v>
      </c>
      <c r="B30" s="76" t="s">
        <v>195</v>
      </c>
    </row>
    <row r="31">
      <c r="A31" s="111" t="s">
        <v>240</v>
      </c>
      <c r="B31" s="76" t="s">
        <v>195</v>
      </c>
    </row>
    <row r="32">
      <c r="A32" s="111" t="s">
        <v>243</v>
      </c>
    </row>
    <row r="33">
      <c r="A33" s="111"/>
    </row>
    <row r="34">
      <c r="A34" s="110" t="s">
        <v>245</v>
      </c>
    </row>
    <row r="35">
      <c r="A35" s="111"/>
    </row>
    <row r="36">
      <c r="A36" s="111" t="s">
        <v>246</v>
      </c>
    </row>
    <row r="37">
      <c r="A37" s="111"/>
    </row>
    <row r="38">
      <c r="A38" s="118" t="s">
        <v>247</v>
      </c>
    </row>
    <row r="39">
      <c r="A39" s="118"/>
    </row>
    <row r="40">
      <c r="A40" s="120" t="s">
        <v>248</v>
      </c>
    </row>
    <row r="41">
      <c r="A41" s="121"/>
    </row>
    <row r="42">
      <c r="A42" s="123" t="s">
        <v>249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8.14"/>
    <col customWidth="1" min="2" max="2" width="25.86"/>
  </cols>
  <sheetData>
    <row r="1">
      <c r="A1" s="125" t="s">
        <v>255</v>
      </c>
      <c r="B1" s="126" t="s">
        <v>256</v>
      </c>
      <c r="C1" s="127" t="s">
        <v>3</v>
      </c>
    </row>
    <row r="2">
      <c r="A2" s="128" t="s">
        <v>257</v>
      </c>
      <c r="B2" s="128" t="s">
        <v>258</v>
      </c>
      <c r="C2" s="129">
        <v>6.0</v>
      </c>
    </row>
    <row r="3">
      <c r="A3" s="128" t="s">
        <v>259</v>
      </c>
      <c r="B3" s="128" t="s">
        <v>260</v>
      </c>
      <c r="C3" s="129">
        <v>3.7</v>
      </c>
    </row>
    <row r="4">
      <c r="A4" s="128" t="s">
        <v>261</v>
      </c>
      <c r="B4" s="128" t="s">
        <v>262</v>
      </c>
      <c r="C4" s="129">
        <v>10.0</v>
      </c>
    </row>
    <row r="5">
      <c r="A5" s="128"/>
      <c r="B5" s="128"/>
      <c r="C5" s="128"/>
    </row>
    <row r="6">
      <c r="A6" s="128" t="s">
        <v>263</v>
      </c>
      <c r="B6" s="128" t="s">
        <v>264</v>
      </c>
      <c r="C6" s="129">
        <v>60.8</v>
      </c>
    </row>
    <row r="7">
      <c r="A7" s="128" t="s">
        <v>266</v>
      </c>
      <c r="B7" s="128" t="s">
        <v>267</v>
      </c>
      <c r="C7" s="129">
        <v>98.6</v>
      </c>
    </row>
    <row r="8">
      <c r="A8" s="128" t="s">
        <v>268</v>
      </c>
      <c r="B8" s="128" t="s">
        <v>269</v>
      </c>
      <c r="C8" s="129">
        <v>36.5</v>
      </c>
    </row>
    <row r="9">
      <c r="A9" s="128" t="s">
        <v>270</v>
      </c>
      <c r="B9" s="128" t="s">
        <v>271</v>
      </c>
      <c r="C9" s="129">
        <v>123.0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4.29"/>
    <col customWidth="1" min="2" max="2" width="16.43"/>
    <col customWidth="1" min="3" max="26" width="8.0"/>
  </cols>
  <sheetData>
    <row r="1" ht="14.25" customHeight="1">
      <c r="B1" s="136"/>
    </row>
    <row r="2" ht="14.25" customHeight="1">
      <c r="A2" s="137" t="s">
        <v>272</v>
      </c>
      <c r="B2" s="138" t="s">
        <v>273</v>
      </c>
    </row>
    <row r="3" ht="14.25" customHeight="1">
      <c r="A3" s="137" t="s">
        <v>274</v>
      </c>
      <c r="B3" s="138">
        <v>917100.0</v>
      </c>
    </row>
    <row r="4" ht="14.25" customHeight="1">
      <c r="A4" s="137" t="s">
        <v>275</v>
      </c>
      <c r="B4" s="139">
        <v>0.94</v>
      </c>
    </row>
    <row r="5" ht="14.25" customHeight="1">
      <c r="A5" s="137" t="s">
        <v>276</v>
      </c>
      <c r="B5" s="139">
        <v>0.03</v>
      </c>
    </row>
    <row r="6" ht="14.25" customHeight="1">
      <c r="A6" s="137" t="s">
        <v>277</v>
      </c>
      <c r="B6" s="138">
        <v>44.73031124170239</v>
      </c>
    </row>
    <row r="7" ht="14.25" customHeight="1">
      <c r="A7" s="137" t="s">
        <v>278</v>
      </c>
      <c r="B7" s="138">
        <v>44.73031124170239</v>
      </c>
    </row>
    <row r="8" ht="14.25" customHeight="1">
      <c r="A8" s="137" t="s">
        <v>279</v>
      </c>
      <c r="B8" s="138">
        <v>90.0</v>
      </c>
    </row>
    <row r="9" ht="14.25" customHeight="1">
      <c r="A9" s="137" t="s">
        <v>280</v>
      </c>
      <c r="B9" s="138">
        <v>60.0</v>
      </c>
    </row>
    <row r="10" ht="14.25" customHeight="1">
      <c r="A10" s="137" t="s">
        <v>269</v>
      </c>
      <c r="B10" s="138">
        <v>90.0</v>
      </c>
    </row>
    <row r="11" ht="14.25" customHeight="1">
      <c r="A11" s="137" t="s">
        <v>281</v>
      </c>
      <c r="B11" s="138">
        <v>0.1</v>
      </c>
    </row>
    <row r="12" ht="14.25" customHeight="1">
      <c r="A12" s="137" t="s">
        <v>282</v>
      </c>
      <c r="B12" s="138"/>
    </row>
    <row r="13" ht="14.25" customHeight="1">
      <c r="A13" s="137" t="s">
        <v>283</v>
      </c>
      <c r="B13" s="138">
        <v>892058.0</v>
      </c>
    </row>
    <row r="14" ht="14.25" customHeight="1">
      <c r="A14" s="137" t="s">
        <v>284</v>
      </c>
      <c r="B14" s="138">
        <v>175.0</v>
      </c>
    </row>
    <row r="15" ht="14.25" customHeight="1">
      <c r="A15" s="137" t="s">
        <v>285</v>
      </c>
      <c r="B15" s="138">
        <v>2.085714285714286</v>
      </c>
    </row>
    <row r="16" ht="14.25" customHeight="1">
      <c r="A16" s="137" t="s">
        <v>286</v>
      </c>
      <c r="B16" s="138">
        <v>427699.0</v>
      </c>
    </row>
    <row r="17" ht="14.25" customHeight="1">
      <c r="B17" s="136"/>
    </row>
    <row r="18" ht="14.25" customHeight="1">
      <c r="B18" s="136"/>
    </row>
    <row r="19" ht="14.25" customHeight="1">
      <c r="B19" s="136"/>
    </row>
    <row r="20" ht="14.25" customHeight="1">
      <c r="B20" s="136"/>
    </row>
    <row r="21" ht="14.25" customHeight="1">
      <c r="B21" s="136"/>
    </row>
    <row r="22" ht="14.25" customHeight="1">
      <c r="B22" s="136"/>
    </row>
    <row r="23" ht="14.25" customHeight="1">
      <c r="B23" s="136"/>
    </row>
    <row r="24" ht="14.25" customHeight="1">
      <c r="B24" s="136"/>
    </row>
    <row r="25" ht="14.25" customHeight="1">
      <c r="B25" s="136"/>
    </row>
    <row r="26" ht="14.25" customHeight="1">
      <c r="B26" s="136"/>
    </row>
    <row r="27" ht="14.25" customHeight="1">
      <c r="B27" s="136"/>
    </row>
    <row r="28" ht="14.25" customHeight="1">
      <c r="B28" s="136"/>
    </row>
    <row r="29" ht="14.25" customHeight="1">
      <c r="B29" s="136"/>
    </row>
    <row r="30" ht="14.25" customHeight="1">
      <c r="B30" s="136"/>
    </row>
    <row r="31" ht="14.25" customHeight="1">
      <c r="B31" s="136"/>
    </row>
    <row r="32" ht="14.25" customHeight="1">
      <c r="B32" s="136"/>
    </row>
    <row r="33" ht="14.25" customHeight="1">
      <c r="B33" s="136"/>
    </row>
    <row r="34" ht="14.25" customHeight="1">
      <c r="B34" s="136"/>
    </row>
    <row r="35" ht="14.25" customHeight="1">
      <c r="B35" s="136"/>
    </row>
    <row r="36" ht="14.25" customHeight="1">
      <c r="B36" s="136"/>
    </row>
    <row r="37" ht="14.25" customHeight="1">
      <c r="B37" s="136"/>
    </row>
    <row r="38" ht="14.25" customHeight="1">
      <c r="B38" s="136"/>
    </row>
    <row r="39" ht="14.25" customHeight="1">
      <c r="B39" s="136"/>
    </row>
    <row r="40" ht="14.25" customHeight="1">
      <c r="B40" s="136"/>
    </row>
    <row r="41" ht="14.25" customHeight="1">
      <c r="B41" s="136"/>
    </row>
    <row r="42" ht="14.25" customHeight="1">
      <c r="B42" s="136"/>
    </row>
    <row r="43" ht="14.25" customHeight="1">
      <c r="B43" s="136"/>
    </row>
    <row r="44" ht="14.25" customHeight="1">
      <c r="B44" s="136"/>
    </row>
    <row r="45" ht="14.25" customHeight="1">
      <c r="B45" s="136"/>
    </row>
    <row r="46" ht="14.25" customHeight="1">
      <c r="B46" s="136"/>
    </row>
    <row r="47" ht="14.25" customHeight="1">
      <c r="B47" s="136"/>
    </row>
    <row r="48" ht="14.25" customHeight="1">
      <c r="B48" s="136"/>
    </row>
    <row r="49" ht="14.25" customHeight="1">
      <c r="B49" s="136"/>
    </row>
    <row r="50" ht="14.25" customHeight="1">
      <c r="B50" s="136"/>
    </row>
    <row r="51" ht="14.25" customHeight="1">
      <c r="B51" s="136"/>
    </row>
    <row r="52" ht="14.25" customHeight="1">
      <c r="B52" s="136"/>
    </row>
    <row r="53" ht="14.25" customHeight="1">
      <c r="B53" s="136"/>
    </row>
    <row r="54" ht="14.25" customHeight="1">
      <c r="B54" s="136"/>
    </row>
    <row r="55" ht="14.25" customHeight="1">
      <c r="B55" s="136"/>
    </row>
    <row r="56" ht="14.25" customHeight="1">
      <c r="B56" s="136"/>
    </row>
    <row r="57" ht="14.25" customHeight="1">
      <c r="B57" s="136"/>
    </row>
    <row r="58" ht="14.25" customHeight="1">
      <c r="B58" s="136"/>
    </row>
    <row r="59" ht="14.25" customHeight="1">
      <c r="B59" s="136"/>
    </row>
    <row r="60" ht="14.25" customHeight="1">
      <c r="B60" s="136"/>
    </row>
    <row r="61" ht="14.25" customHeight="1">
      <c r="B61" s="136"/>
    </row>
    <row r="62" ht="14.25" customHeight="1">
      <c r="B62" s="136"/>
    </row>
    <row r="63" ht="14.25" customHeight="1">
      <c r="B63" s="136"/>
    </row>
    <row r="64" ht="14.25" customHeight="1">
      <c r="B64" s="136"/>
    </row>
    <row r="65" ht="14.25" customHeight="1">
      <c r="B65" s="136"/>
    </row>
    <row r="66" ht="14.25" customHeight="1">
      <c r="B66" s="136"/>
    </row>
    <row r="67" ht="14.25" customHeight="1">
      <c r="B67" s="136"/>
    </row>
    <row r="68" ht="14.25" customHeight="1">
      <c r="B68" s="136"/>
    </row>
    <row r="69" ht="14.25" customHeight="1">
      <c r="B69" s="136"/>
    </row>
    <row r="70" ht="14.25" customHeight="1">
      <c r="B70" s="136"/>
    </row>
    <row r="71" ht="14.25" customHeight="1">
      <c r="B71" s="136"/>
    </row>
    <row r="72" ht="14.25" customHeight="1">
      <c r="B72" s="136"/>
    </row>
    <row r="73" ht="14.25" customHeight="1">
      <c r="B73" s="136"/>
    </row>
    <row r="74" ht="14.25" customHeight="1">
      <c r="B74" s="136"/>
    </row>
    <row r="75" ht="14.25" customHeight="1">
      <c r="B75" s="136"/>
    </row>
    <row r="76" ht="14.25" customHeight="1">
      <c r="B76" s="136"/>
    </row>
    <row r="77" ht="14.25" customHeight="1">
      <c r="B77" s="136"/>
    </row>
    <row r="78" ht="14.25" customHeight="1">
      <c r="B78" s="136"/>
    </row>
    <row r="79" ht="14.25" customHeight="1">
      <c r="B79" s="136"/>
    </row>
    <row r="80" ht="14.25" customHeight="1">
      <c r="B80" s="136"/>
    </row>
    <row r="81" ht="14.25" customHeight="1">
      <c r="B81" s="136"/>
    </row>
    <row r="82" ht="14.25" customHeight="1">
      <c r="B82" s="136"/>
    </row>
    <row r="83" ht="14.25" customHeight="1">
      <c r="B83" s="136"/>
    </row>
    <row r="84" ht="14.25" customHeight="1">
      <c r="B84" s="136"/>
    </row>
    <row r="85" ht="14.25" customHeight="1">
      <c r="B85" s="136"/>
    </row>
    <row r="86" ht="14.25" customHeight="1">
      <c r="B86" s="136"/>
    </row>
    <row r="87" ht="14.25" customHeight="1">
      <c r="B87" s="136"/>
    </row>
    <row r="88" ht="14.25" customHeight="1">
      <c r="B88" s="136"/>
    </row>
    <row r="89" ht="14.25" customHeight="1">
      <c r="B89" s="136"/>
    </row>
    <row r="90" ht="14.25" customHeight="1">
      <c r="B90" s="136"/>
    </row>
    <row r="91" ht="14.25" customHeight="1">
      <c r="B91" s="136"/>
    </row>
    <row r="92" ht="14.25" customHeight="1">
      <c r="B92" s="136"/>
    </row>
    <row r="93" ht="14.25" customHeight="1">
      <c r="B93" s="136"/>
    </row>
    <row r="94" ht="14.25" customHeight="1">
      <c r="B94" s="136"/>
    </row>
    <row r="95" ht="14.25" customHeight="1">
      <c r="B95" s="136"/>
    </row>
    <row r="96" ht="14.25" customHeight="1">
      <c r="B96" s="136"/>
    </row>
    <row r="97" ht="14.25" customHeight="1">
      <c r="B97" s="136"/>
    </row>
    <row r="98" ht="14.25" customHeight="1">
      <c r="B98" s="136"/>
    </row>
    <row r="99" ht="14.25" customHeight="1">
      <c r="B99" s="136"/>
    </row>
    <row r="100" ht="14.25" customHeight="1">
      <c r="B100" s="136"/>
    </row>
    <row r="101" ht="14.25" customHeight="1">
      <c r="B101" s="136"/>
    </row>
    <row r="102" ht="14.25" customHeight="1">
      <c r="B102" s="136"/>
    </row>
    <row r="103" ht="14.25" customHeight="1">
      <c r="B103" s="136"/>
    </row>
    <row r="104" ht="14.25" customHeight="1">
      <c r="B104" s="136"/>
    </row>
    <row r="105" ht="14.25" customHeight="1">
      <c r="B105" s="136"/>
    </row>
    <row r="106" ht="14.25" customHeight="1">
      <c r="B106" s="136"/>
    </row>
    <row r="107" ht="14.25" customHeight="1">
      <c r="B107" s="136"/>
    </row>
    <row r="108" ht="14.25" customHeight="1">
      <c r="B108" s="136"/>
    </row>
    <row r="109" ht="14.25" customHeight="1">
      <c r="B109" s="136"/>
    </row>
    <row r="110" ht="14.25" customHeight="1">
      <c r="B110" s="136"/>
    </row>
    <row r="111" ht="14.25" customHeight="1">
      <c r="B111" s="136"/>
    </row>
    <row r="112" ht="14.25" customHeight="1">
      <c r="B112" s="136"/>
    </row>
    <row r="113" ht="14.25" customHeight="1">
      <c r="B113" s="136"/>
    </row>
    <row r="114" ht="14.25" customHeight="1">
      <c r="B114" s="136"/>
    </row>
    <row r="115" ht="14.25" customHeight="1">
      <c r="B115" s="136"/>
    </row>
    <row r="116" ht="14.25" customHeight="1">
      <c r="B116" s="136"/>
    </row>
    <row r="117" ht="14.25" customHeight="1">
      <c r="B117" s="136"/>
    </row>
    <row r="118" ht="14.25" customHeight="1">
      <c r="B118" s="136"/>
    </row>
    <row r="119" ht="14.25" customHeight="1">
      <c r="B119" s="136"/>
    </row>
    <row r="120" ht="14.25" customHeight="1">
      <c r="B120" s="136"/>
    </row>
    <row r="121" ht="14.25" customHeight="1">
      <c r="B121" s="136"/>
    </row>
    <row r="122" ht="14.25" customHeight="1">
      <c r="B122" s="136"/>
    </row>
    <row r="123" ht="14.25" customHeight="1">
      <c r="B123" s="136"/>
    </row>
    <row r="124" ht="14.25" customHeight="1">
      <c r="B124" s="136"/>
    </row>
    <row r="125" ht="14.25" customHeight="1">
      <c r="B125" s="136"/>
    </row>
    <row r="126" ht="14.25" customHeight="1">
      <c r="B126" s="136"/>
    </row>
    <row r="127" ht="14.25" customHeight="1">
      <c r="B127" s="136"/>
    </row>
    <row r="128" ht="14.25" customHeight="1">
      <c r="B128" s="136"/>
    </row>
    <row r="129" ht="14.25" customHeight="1">
      <c r="B129" s="136"/>
    </row>
    <row r="130" ht="14.25" customHeight="1">
      <c r="B130" s="136"/>
    </row>
    <row r="131" ht="14.25" customHeight="1">
      <c r="B131" s="136"/>
    </row>
    <row r="132" ht="14.25" customHeight="1">
      <c r="B132" s="136"/>
    </row>
    <row r="133" ht="14.25" customHeight="1">
      <c r="B133" s="136"/>
    </row>
    <row r="134" ht="14.25" customHeight="1">
      <c r="B134" s="136"/>
    </row>
    <row r="135" ht="14.25" customHeight="1">
      <c r="B135" s="136"/>
    </row>
    <row r="136" ht="14.25" customHeight="1">
      <c r="B136" s="136"/>
    </row>
    <row r="137" ht="14.25" customHeight="1">
      <c r="B137" s="136"/>
    </row>
    <row r="138" ht="14.25" customHeight="1">
      <c r="B138" s="136"/>
    </row>
    <row r="139" ht="14.25" customHeight="1">
      <c r="B139" s="136"/>
    </row>
    <row r="140" ht="14.25" customHeight="1">
      <c r="B140" s="136"/>
    </row>
    <row r="141" ht="14.25" customHeight="1">
      <c r="B141" s="136"/>
    </row>
    <row r="142" ht="14.25" customHeight="1">
      <c r="B142" s="136"/>
    </row>
    <row r="143" ht="14.25" customHeight="1">
      <c r="B143" s="136"/>
    </row>
    <row r="144" ht="14.25" customHeight="1">
      <c r="B144" s="136"/>
    </row>
    <row r="145" ht="14.25" customHeight="1">
      <c r="B145" s="136"/>
    </row>
    <row r="146" ht="14.25" customHeight="1">
      <c r="B146" s="136"/>
    </row>
    <row r="147" ht="14.25" customHeight="1">
      <c r="B147" s="136"/>
    </row>
    <row r="148" ht="14.25" customHeight="1">
      <c r="B148" s="136"/>
    </row>
    <row r="149" ht="14.25" customHeight="1">
      <c r="B149" s="136"/>
    </row>
    <row r="150" ht="14.25" customHeight="1">
      <c r="B150" s="136"/>
    </row>
    <row r="151" ht="14.25" customHeight="1">
      <c r="B151" s="136"/>
    </row>
    <row r="152" ht="14.25" customHeight="1">
      <c r="B152" s="136"/>
    </row>
    <row r="153" ht="14.25" customHeight="1">
      <c r="B153" s="136"/>
    </row>
    <row r="154" ht="14.25" customHeight="1">
      <c r="B154" s="136"/>
    </row>
    <row r="155" ht="14.25" customHeight="1">
      <c r="B155" s="136"/>
    </row>
    <row r="156" ht="14.25" customHeight="1">
      <c r="B156" s="136"/>
    </row>
    <row r="157" ht="14.25" customHeight="1">
      <c r="B157" s="136"/>
    </row>
    <row r="158" ht="14.25" customHeight="1">
      <c r="B158" s="136"/>
    </row>
    <row r="159" ht="14.25" customHeight="1">
      <c r="B159" s="136"/>
    </row>
    <row r="160" ht="14.25" customHeight="1">
      <c r="B160" s="136"/>
    </row>
    <row r="161" ht="14.25" customHeight="1">
      <c r="B161" s="136"/>
    </row>
    <row r="162" ht="14.25" customHeight="1">
      <c r="B162" s="136"/>
    </row>
    <row r="163" ht="14.25" customHeight="1">
      <c r="B163" s="136"/>
    </row>
    <row r="164" ht="14.25" customHeight="1">
      <c r="B164" s="136"/>
    </row>
    <row r="165" ht="14.25" customHeight="1">
      <c r="B165" s="136"/>
    </row>
    <row r="166" ht="14.25" customHeight="1">
      <c r="B166" s="136"/>
    </row>
    <row r="167" ht="14.25" customHeight="1">
      <c r="B167" s="136"/>
    </row>
    <row r="168" ht="14.25" customHeight="1">
      <c r="B168" s="136"/>
    </row>
    <row r="169" ht="14.25" customHeight="1">
      <c r="B169" s="136"/>
    </row>
    <row r="170" ht="14.25" customHeight="1">
      <c r="B170" s="136"/>
    </row>
    <row r="171" ht="14.25" customHeight="1">
      <c r="B171" s="136"/>
    </row>
    <row r="172" ht="14.25" customHeight="1">
      <c r="B172" s="136"/>
    </row>
    <row r="173" ht="14.25" customHeight="1">
      <c r="B173" s="136"/>
    </row>
    <row r="174" ht="14.25" customHeight="1">
      <c r="B174" s="136"/>
    </row>
    <row r="175" ht="14.25" customHeight="1">
      <c r="B175" s="136"/>
    </row>
    <row r="176" ht="14.25" customHeight="1">
      <c r="B176" s="136"/>
    </row>
    <row r="177" ht="14.25" customHeight="1">
      <c r="B177" s="136"/>
    </row>
    <row r="178" ht="14.25" customHeight="1">
      <c r="B178" s="136"/>
    </row>
    <row r="179" ht="14.25" customHeight="1">
      <c r="B179" s="136"/>
    </row>
    <row r="180" ht="14.25" customHeight="1">
      <c r="B180" s="136"/>
    </row>
    <row r="181" ht="14.25" customHeight="1">
      <c r="B181" s="136"/>
    </row>
    <row r="182" ht="14.25" customHeight="1">
      <c r="B182" s="136"/>
    </row>
    <row r="183" ht="14.25" customHeight="1">
      <c r="B183" s="136"/>
    </row>
    <row r="184" ht="14.25" customHeight="1">
      <c r="B184" s="136"/>
    </row>
    <row r="185" ht="14.25" customHeight="1">
      <c r="B185" s="136"/>
    </row>
    <row r="186" ht="14.25" customHeight="1">
      <c r="B186" s="136"/>
    </row>
    <row r="187" ht="14.25" customHeight="1">
      <c r="B187" s="136"/>
    </row>
    <row r="188" ht="14.25" customHeight="1">
      <c r="B188" s="136"/>
    </row>
    <row r="189" ht="14.25" customHeight="1">
      <c r="B189" s="136"/>
    </row>
    <row r="190" ht="14.25" customHeight="1">
      <c r="B190" s="136"/>
    </row>
    <row r="191" ht="14.25" customHeight="1">
      <c r="B191" s="136"/>
    </row>
    <row r="192" ht="14.25" customHeight="1">
      <c r="B192" s="136"/>
    </row>
    <row r="193" ht="14.25" customHeight="1">
      <c r="B193" s="136"/>
    </row>
    <row r="194" ht="14.25" customHeight="1">
      <c r="B194" s="136"/>
    </row>
    <row r="195" ht="14.25" customHeight="1">
      <c r="B195" s="136"/>
    </row>
    <row r="196" ht="14.25" customHeight="1">
      <c r="B196" s="136"/>
    </row>
    <row r="197" ht="14.25" customHeight="1">
      <c r="B197" s="136"/>
    </row>
    <row r="198" ht="14.25" customHeight="1">
      <c r="B198" s="136"/>
    </row>
    <row r="199" ht="14.25" customHeight="1">
      <c r="B199" s="136"/>
    </row>
    <row r="200" ht="14.25" customHeight="1">
      <c r="B200" s="136"/>
    </row>
    <row r="201" ht="14.25" customHeight="1">
      <c r="B201" s="136"/>
    </row>
    <row r="202" ht="14.25" customHeight="1">
      <c r="B202" s="136"/>
    </row>
    <row r="203" ht="14.25" customHeight="1">
      <c r="B203" s="136"/>
    </row>
    <row r="204" ht="14.25" customHeight="1">
      <c r="B204" s="136"/>
    </row>
    <row r="205" ht="14.25" customHeight="1">
      <c r="B205" s="136"/>
    </row>
    <row r="206" ht="14.25" customHeight="1">
      <c r="B206" s="136"/>
    </row>
    <row r="207" ht="14.25" customHeight="1">
      <c r="B207" s="136"/>
    </row>
    <row r="208" ht="14.25" customHeight="1">
      <c r="B208" s="136"/>
    </row>
    <row r="209" ht="14.25" customHeight="1">
      <c r="B209" s="136"/>
    </row>
    <row r="210" ht="14.25" customHeight="1">
      <c r="B210" s="136"/>
    </row>
    <row r="211" ht="14.25" customHeight="1">
      <c r="B211" s="136"/>
    </row>
    <row r="212" ht="14.25" customHeight="1">
      <c r="B212" s="136"/>
    </row>
    <row r="213" ht="14.25" customHeight="1">
      <c r="B213" s="136"/>
    </row>
    <row r="214" ht="14.25" customHeight="1">
      <c r="B214" s="136"/>
    </row>
    <row r="215" ht="14.25" customHeight="1">
      <c r="B215" s="136"/>
    </row>
    <row r="216" ht="14.25" customHeight="1">
      <c r="B216" s="136"/>
    </row>
    <row r="217" ht="14.25" customHeight="1">
      <c r="B217" s="136"/>
    </row>
    <row r="218" ht="14.25" customHeight="1">
      <c r="B218" s="136"/>
    </row>
    <row r="219" ht="14.25" customHeight="1">
      <c r="B219" s="136"/>
    </row>
    <row r="220" ht="14.25" customHeight="1">
      <c r="B220" s="136"/>
    </row>
    <row r="221" ht="14.25" customHeight="1">
      <c r="B221" s="136"/>
    </row>
    <row r="222" ht="14.25" customHeight="1">
      <c r="B222" s="136"/>
    </row>
    <row r="223" ht="14.25" customHeight="1">
      <c r="B223" s="136"/>
    </row>
    <row r="224" ht="14.25" customHeight="1">
      <c r="B224" s="136"/>
    </row>
    <row r="225" ht="14.25" customHeight="1">
      <c r="B225" s="136"/>
    </row>
    <row r="226" ht="14.25" customHeight="1">
      <c r="B226" s="136"/>
    </row>
    <row r="227" ht="14.25" customHeight="1">
      <c r="B227" s="136"/>
    </row>
    <row r="228" ht="14.25" customHeight="1">
      <c r="B228" s="136"/>
    </row>
    <row r="229" ht="14.25" customHeight="1">
      <c r="B229" s="136"/>
    </row>
    <row r="230" ht="14.25" customHeight="1">
      <c r="B230" s="136"/>
    </row>
    <row r="231" ht="14.25" customHeight="1">
      <c r="B231" s="136"/>
    </row>
    <row r="232" ht="14.25" customHeight="1">
      <c r="B232" s="136"/>
    </row>
    <row r="233" ht="14.25" customHeight="1">
      <c r="B233" s="136"/>
    </row>
    <row r="234" ht="14.25" customHeight="1">
      <c r="B234" s="136"/>
    </row>
    <row r="235" ht="14.25" customHeight="1">
      <c r="B235" s="136"/>
    </row>
    <row r="236" ht="14.25" customHeight="1">
      <c r="B236" s="136"/>
    </row>
    <row r="237" ht="14.25" customHeight="1">
      <c r="B237" s="136"/>
    </row>
    <row r="238" ht="14.25" customHeight="1">
      <c r="B238" s="136"/>
    </row>
    <row r="239" ht="14.25" customHeight="1">
      <c r="B239" s="136"/>
    </row>
    <row r="240" ht="14.25" customHeight="1">
      <c r="B240" s="136"/>
    </row>
    <row r="241" ht="14.25" customHeight="1">
      <c r="B241" s="136"/>
    </row>
    <row r="242" ht="14.25" customHeight="1">
      <c r="B242" s="136"/>
    </row>
    <row r="243" ht="14.25" customHeight="1">
      <c r="B243" s="136"/>
    </row>
    <row r="244" ht="14.25" customHeight="1">
      <c r="B244" s="136"/>
    </row>
    <row r="245" ht="14.25" customHeight="1">
      <c r="B245" s="136"/>
    </row>
    <row r="246" ht="14.25" customHeight="1">
      <c r="B246" s="136"/>
    </row>
    <row r="247" ht="14.25" customHeight="1">
      <c r="B247" s="136"/>
    </row>
    <row r="248" ht="14.25" customHeight="1">
      <c r="B248" s="136"/>
    </row>
    <row r="249" ht="14.25" customHeight="1">
      <c r="B249" s="136"/>
    </row>
    <row r="250" ht="14.25" customHeight="1">
      <c r="B250" s="136"/>
    </row>
    <row r="251" ht="14.25" customHeight="1">
      <c r="B251" s="136"/>
    </row>
    <row r="252" ht="14.25" customHeight="1">
      <c r="B252" s="136"/>
    </row>
    <row r="253" ht="14.25" customHeight="1">
      <c r="B253" s="136"/>
    </row>
    <row r="254" ht="14.25" customHeight="1">
      <c r="B254" s="136"/>
    </row>
    <row r="255" ht="14.25" customHeight="1">
      <c r="B255" s="136"/>
    </row>
    <row r="256" ht="14.25" customHeight="1">
      <c r="B256" s="136"/>
    </row>
    <row r="257" ht="14.25" customHeight="1">
      <c r="B257" s="136"/>
    </row>
    <row r="258" ht="14.25" customHeight="1">
      <c r="B258" s="136"/>
    </row>
    <row r="259" ht="14.25" customHeight="1">
      <c r="B259" s="136"/>
    </row>
    <row r="260" ht="14.25" customHeight="1">
      <c r="B260" s="136"/>
    </row>
    <row r="261" ht="14.25" customHeight="1">
      <c r="B261" s="136"/>
    </row>
    <row r="262" ht="14.25" customHeight="1">
      <c r="B262" s="136"/>
    </row>
    <row r="263" ht="14.25" customHeight="1">
      <c r="B263" s="136"/>
    </row>
    <row r="264" ht="14.25" customHeight="1">
      <c r="B264" s="136"/>
    </row>
    <row r="265" ht="14.25" customHeight="1">
      <c r="B265" s="136"/>
    </row>
    <row r="266" ht="14.25" customHeight="1">
      <c r="B266" s="136"/>
    </row>
    <row r="267" ht="14.25" customHeight="1">
      <c r="B267" s="136"/>
    </row>
    <row r="268" ht="14.25" customHeight="1">
      <c r="B268" s="136"/>
    </row>
    <row r="269" ht="14.25" customHeight="1">
      <c r="B269" s="136"/>
    </row>
    <row r="270" ht="14.25" customHeight="1">
      <c r="B270" s="136"/>
    </row>
    <row r="271" ht="14.25" customHeight="1">
      <c r="B271" s="136"/>
    </row>
    <row r="272" ht="14.25" customHeight="1">
      <c r="B272" s="136"/>
    </row>
    <row r="273" ht="14.25" customHeight="1">
      <c r="B273" s="136"/>
    </row>
    <row r="274" ht="14.25" customHeight="1">
      <c r="B274" s="136"/>
    </row>
    <row r="275" ht="14.25" customHeight="1">
      <c r="B275" s="136"/>
    </row>
    <row r="276" ht="14.25" customHeight="1">
      <c r="B276" s="136"/>
    </row>
    <row r="277" ht="14.25" customHeight="1">
      <c r="B277" s="136"/>
    </row>
    <row r="278" ht="14.25" customHeight="1">
      <c r="B278" s="136"/>
    </row>
    <row r="279" ht="14.25" customHeight="1">
      <c r="B279" s="136"/>
    </row>
    <row r="280" ht="14.25" customHeight="1">
      <c r="B280" s="136"/>
    </row>
    <row r="281" ht="14.25" customHeight="1">
      <c r="B281" s="136"/>
    </row>
    <row r="282" ht="14.25" customHeight="1">
      <c r="B282" s="136"/>
    </row>
    <row r="283" ht="14.25" customHeight="1">
      <c r="B283" s="136"/>
    </row>
    <row r="284" ht="14.25" customHeight="1">
      <c r="B284" s="136"/>
    </row>
    <row r="285" ht="14.25" customHeight="1">
      <c r="B285" s="136"/>
    </row>
    <row r="286" ht="14.25" customHeight="1">
      <c r="B286" s="136"/>
    </row>
    <row r="287" ht="14.25" customHeight="1">
      <c r="B287" s="136"/>
    </row>
    <row r="288" ht="14.25" customHeight="1">
      <c r="B288" s="136"/>
    </row>
    <row r="289" ht="14.25" customHeight="1">
      <c r="B289" s="136"/>
    </row>
    <row r="290" ht="14.25" customHeight="1">
      <c r="B290" s="136"/>
    </row>
    <row r="291" ht="14.25" customHeight="1">
      <c r="B291" s="136"/>
    </row>
    <row r="292" ht="14.25" customHeight="1">
      <c r="B292" s="136"/>
    </row>
    <row r="293" ht="14.25" customHeight="1">
      <c r="B293" s="136"/>
    </row>
    <row r="294" ht="14.25" customHeight="1">
      <c r="B294" s="136"/>
    </row>
    <row r="295" ht="14.25" customHeight="1">
      <c r="B295" s="136"/>
    </row>
    <row r="296" ht="14.25" customHeight="1">
      <c r="B296" s="136"/>
    </row>
    <row r="297" ht="14.25" customHeight="1">
      <c r="B297" s="136"/>
    </row>
    <row r="298" ht="14.25" customHeight="1">
      <c r="B298" s="136"/>
    </row>
    <row r="299" ht="14.25" customHeight="1">
      <c r="B299" s="136"/>
    </row>
    <row r="300" ht="14.25" customHeight="1">
      <c r="B300" s="136"/>
    </row>
    <row r="301" ht="14.25" customHeight="1">
      <c r="B301" s="136"/>
    </row>
    <row r="302" ht="14.25" customHeight="1">
      <c r="B302" s="136"/>
    </row>
    <row r="303" ht="14.25" customHeight="1">
      <c r="B303" s="136"/>
    </row>
    <row r="304" ht="14.25" customHeight="1">
      <c r="B304" s="136"/>
    </row>
    <row r="305" ht="14.25" customHeight="1">
      <c r="B305" s="136"/>
    </row>
    <row r="306" ht="14.25" customHeight="1">
      <c r="B306" s="136"/>
    </row>
    <row r="307" ht="14.25" customHeight="1">
      <c r="B307" s="136"/>
    </row>
    <row r="308" ht="14.25" customHeight="1">
      <c r="B308" s="136"/>
    </row>
    <row r="309" ht="14.25" customHeight="1">
      <c r="B309" s="136"/>
    </row>
    <row r="310" ht="14.25" customHeight="1">
      <c r="B310" s="136"/>
    </row>
    <row r="311" ht="14.25" customHeight="1">
      <c r="B311" s="136"/>
    </row>
    <row r="312" ht="14.25" customHeight="1">
      <c r="B312" s="136"/>
    </row>
    <row r="313" ht="14.25" customHeight="1">
      <c r="B313" s="136"/>
    </row>
    <row r="314" ht="14.25" customHeight="1">
      <c r="B314" s="136"/>
    </row>
    <row r="315" ht="14.25" customHeight="1">
      <c r="B315" s="136"/>
    </row>
    <row r="316" ht="14.25" customHeight="1">
      <c r="B316" s="136"/>
    </row>
    <row r="317" ht="14.25" customHeight="1">
      <c r="B317" s="136"/>
    </row>
    <row r="318" ht="14.25" customHeight="1">
      <c r="B318" s="136"/>
    </row>
    <row r="319" ht="14.25" customHeight="1">
      <c r="B319" s="136"/>
    </row>
    <row r="320" ht="14.25" customHeight="1">
      <c r="B320" s="136"/>
    </row>
    <row r="321" ht="14.25" customHeight="1">
      <c r="B321" s="136"/>
    </row>
    <row r="322" ht="14.25" customHeight="1">
      <c r="B322" s="136"/>
    </row>
    <row r="323" ht="14.25" customHeight="1">
      <c r="B323" s="136"/>
    </row>
    <row r="324" ht="14.25" customHeight="1">
      <c r="B324" s="136"/>
    </row>
    <row r="325" ht="14.25" customHeight="1">
      <c r="B325" s="136"/>
    </row>
    <row r="326" ht="14.25" customHeight="1">
      <c r="B326" s="136"/>
    </row>
    <row r="327" ht="14.25" customHeight="1">
      <c r="B327" s="136"/>
    </row>
    <row r="328" ht="14.25" customHeight="1">
      <c r="B328" s="136"/>
    </row>
    <row r="329" ht="14.25" customHeight="1">
      <c r="B329" s="136"/>
    </row>
    <row r="330" ht="14.25" customHeight="1">
      <c r="B330" s="136"/>
    </row>
    <row r="331" ht="14.25" customHeight="1">
      <c r="B331" s="136"/>
    </row>
    <row r="332" ht="14.25" customHeight="1">
      <c r="B332" s="136"/>
    </row>
    <row r="333" ht="14.25" customHeight="1">
      <c r="B333" s="136"/>
    </row>
    <row r="334" ht="14.25" customHeight="1">
      <c r="B334" s="136"/>
    </row>
    <row r="335" ht="14.25" customHeight="1">
      <c r="B335" s="136"/>
    </row>
    <row r="336" ht="14.25" customHeight="1">
      <c r="B336" s="136"/>
    </row>
    <row r="337" ht="14.25" customHeight="1">
      <c r="B337" s="136"/>
    </row>
    <row r="338" ht="14.25" customHeight="1">
      <c r="B338" s="136"/>
    </row>
    <row r="339" ht="14.25" customHeight="1">
      <c r="B339" s="136"/>
    </row>
    <row r="340" ht="14.25" customHeight="1">
      <c r="B340" s="136"/>
    </row>
    <row r="341" ht="14.25" customHeight="1">
      <c r="B341" s="136"/>
    </row>
    <row r="342" ht="14.25" customHeight="1">
      <c r="B342" s="136"/>
    </row>
    <row r="343" ht="14.25" customHeight="1">
      <c r="B343" s="136"/>
    </row>
    <row r="344" ht="14.25" customHeight="1">
      <c r="B344" s="136"/>
    </row>
    <row r="345" ht="14.25" customHeight="1">
      <c r="B345" s="136"/>
    </row>
    <row r="346" ht="14.25" customHeight="1">
      <c r="B346" s="136"/>
    </row>
    <row r="347" ht="14.25" customHeight="1">
      <c r="B347" s="136"/>
    </row>
    <row r="348" ht="14.25" customHeight="1">
      <c r="B348" s="136"/>
    </row>
    <row r="349" ht="14.25" customHeight="1">
      <c r="B349" s="136"/>
    </row>
    <row r="350" ht="14.25" customHeight="1">
      <c r="B350" s="136"/>
    </row>
    <row r="351" ht="14.25" customHeight="1">
      <c r="B351" s="136"/>
    </row>
    <row r="352" ht="14.25" customHeight="1">
      <c r="B352" s="136"/>
    </row>
    <row r="353" ht="14.25" customHeight="1">
      <c r="B353" s="136"/>
    </row>
    <row r="354" ht="14.25" customHeight="1">
      <c r="B354" s="136"/>
    </row>
    <row r="355" ht="14.25" customHeight="1">
      <c r="B355" s="136"/>
    </row>
    <row r="356" ht="14.25" customHeight="1">
      <c r="B356" s="136"/>
    </row>
    <row r="357" ht="14.25" customHeight="1">
      <c r="B357" s="136"/>
    </row>
    <row r="358" ht="14.25" customHeight="1">
      <c r="B358" s="136"/>
    </row>
    <row r="359" ht="14.25" customHeight="1">
      <c r="B359" s="136"/>
    </row>
    <row r="360" ht="14.25" customHeight="1">
      <c r="B360" s="136"/>
    </row>
    <row r="361" ht="14.25" customHeight="1">
      <c r="B361" s="136"/>
    </row>
    <row r="362" ht="14.25" customHeight="1">
      <c r="B362" s="136"/>
    </row>
    <row r="363" ht="14.25" customHeight="1">
      <c r="B363" s="136"/>
    </row>
    <row r="364" ht="14.25" customHeight="1">
      <c r="B364" s="136"/>
    </row>
    <row r="365" ht="14.25" customHeight="1">
      <c r="B365" s="136"/>
    </row>
    <row r="366" ht="14.25" customHeight="1">
      <c r="B366" s="136"/>
    </row>
    <row r="367" ht="14.25" customHeight="1">
      <c r="B367" s="136"/>
    </row>
    <row r="368" ht="14.25" customHeight="1">
      <c r="B368" s="136"/>
    </row>
    <row r="369" ht="14.25" customHeight="1">
      <c r="B369" s="136"/>
    </row>
    <row r="370" ht="14.25" customHeight="1">
      <c r="B370" s="136"/>
    </row>
    <row r="371" ht="14.25" customHeight="1">
      <c r="B371" s="136"/>
    </row>
    <row r="372" ht="14.25" customHeight="1">
      <c r="B372" s="136"/>
    </row>
    <row r="373" ht="14.25" customHeight="1">
      <c r="B373" s="136"/>
    </row>
    <row r="374" ht="14.25" customHeight="1">
      <c r="B374" s="136"/>
    </row>
    <row r="375" ht="14.25" customHeight="1">
      <c r="B375" s="136"/>
    </row>
    <row r="376" ht="14.25" customHeight="1">
      <c r="B376" s="136"/>
    </row>
    <row r="377" ht="14.25" customHeight="1">
      <c r="B377" s="136"/>
    </row>
    <row r="378" ht="14.25" customHeight="1">
      <c r="B378" s="136"/>
    </row>
    <row r="379" ht="14.25" customHeight="1">
      <c r="B379" s="136"/>
    </row>
    <row r="380" ht="14.25" customHeight="1">
      <c r="B380" s="136"/>
    </row>
    <row r="381" ht="14.25" customHeight="1">
      <c r="B381" s="136"/>
    </row>
    <row r="382" ht="14.25" customHeight="1">
      <c r="B382" s="136"/>
    </row>
    <row r="383" ht="14.25" customHeight="1">
      <c r="B383" s="136"/>
    </row>
    <row r="384" ht="14.25" customHeight="1">
      <c r="B384" s="136"/>
    </row>
    <row r="385" ht="14.25" customHeight="1">
      <c r="B385" s="136"/>
    </row>
    <row r="386" ht="14.25" customHeight="1">
      <c r="B386" s="136"/>
    </row>
    <row r="387" ht="14.25" customHeight="1">
      <c r="B387" s="136"/>
    </row>
    <row r="388" ht="14.25" customHeight="1">
      <c r="B388" s="136"/>
    </row>
    <row r="389" ht="14.25" customHeight="1">
      <c r="B389" s="136"/>
    </row>
    <row r="390" ht="14.25" customHeight="1">
      <c r="B390" s="136"/>
    </row>
    <row r="391" ht="14.25" customHeight="1">
      <c r="B391" s="136"/>
    </row>
    <row r="392" ht="14.25" customHeight="1">
      <c r="B392" s="136"/>
    </row>
    <row r="393" ht="14.25" customHeight="1">
      <c r="B393" s="136"/>
    </row>
    <row r="394" ht="14.25" customHeight="1">
      <c r="B394" s="136"/>
    </row>
    <row r="395" ht="14.25" customHeight="1">
      <c r="B395" s="136"/>
    </row>
    <row r="396" ht="14.25" customHeight="1">
      <c r="B396" s="136"/>
    </row>
    <row r="397" ht="14.25" customHeight="1">
      <c r="B397" s="136"/>
    </row>
    <row r="398" ht="14.25" customHeight="1">
      <c r="B398" s="136"/>
    </row>
    <row r="399" ht="14.25" customHeight="1">
      <c r="B399" s="136"/>
    </row>
    <row r="400" ht="14.25" customHeight="1">
      <c r="B400" s="136"/>
    </row>
    <row r="401" ht="14.25" customHeight="1">
      <c r="B401" s="136"/>
    </row>
    <row r="402" ht="14.25" customHeight="1">
      <c r="B402" s="136"/>
    </row>
    <row r="403" ht="14.25" customHeight="1">
      <c r="B403" s="136"/>
    </row>
    <row r="404" ht="14.25" customHeight="1">
      <c r="B404" s="136"/>
    </row>
    <row r="405" ht="14.25" customHeight="1">
      <c r="B405" s="136"/>
    </row>
    <row r="406" ht="14.25" customHeight="1">
      <c r="B406" s="136"/>
    </row>
    <row r="407" ht="14.25" customHeight="1">
      <c r="B407" s="136"/>
    </row>
    <row r="408" ht="14.25" customHeight="1">
      <c r="B408" s="136"/>
    </row>
    <row r="409" ht="14.25" customHeight="1">
      <c r="B409" s="136"/>
    </row>
    <row r="410" ht="14.25" customHeight="1">
      <c r="B410" s="136"/>
    </row>
    <row r="411" ht="14.25" customHeight="1">
      <c r="B411" s="136"/>
    </row>
    <row r="412" ht="14.25" customHeight="1">
      <c r="B412" s="136"/>
    </row>
    <row r="413" ht="14.25" customHeight="1">
      <c r="B413" s="136"/>
    </row>
    <row r="414" ht="14.25" customHeight="1">
      <c r="B414" s="136"/>
    </row>
    <row r="415" ht="14.25" customHeight="1">
      <c r="B415" s="136"/>
    </row>
    <row r="416" ht="14.25" customHeight="1">
      <c r="B416" s="136"/>
    </row>
    <row r="417" ht="14.25" customHeight="1">
      <c r="B417" s="136"/>
    </row>
    <row r="418" ht="14.25" customHeight="1">
      <c r="B418" s="136"/>
    </row>
    <row r="419" ht="14.25" customHeight="1">
      <c r="B419" s="136"/>
    </row>
    <row r="420" ht="14.25" customHeight="1">
      <c r="B420" s="136"/>
    </row>
    <row r="421" ht="14.25" customHeight="1">
      <c r="B421" s="136"/>
    </row>
    <row r="422" ht="14.25" customHeight="1">
      <c r="B422" s="136"/>
    </row>
    <row r="423" ht="14.25" customHeight="1">
      <c r="B423" s="136"/>
    </row>
    <row r="424" ht="14.25" customHeight="1">
      <c r="B424" s="136"/>
    </row>
    <row r="425" ht="14.25" customHeight="1">
      <c r="B425" s="136"/>
    </row>
    <row r="426" ht="14.25" customHeight="1">
      <c r="B426" s="136"/>
    </row>
    <row r="427" ht="14.25" customHeight="1">
      <c r="B427" s="136"/>
    </row>
    <row r="428" ht="14.25" customHeight="1">
      <c r="B428" s="136"/>
    </row>
    <row r="429" ht="14.25" customHeight="1">
      <c r="B429" s="136"/>
    </row>
    <row r="430" ht="14.25" customHeight="1">
      <c r="B430" s="136"/>
    </row>
    <row r="431" ht="14.25" customHeight="1">
      <c r="B431" s="136"/>
    </row>
    <row r="432" ht="14.25" customHeight="1">
      <c r="B432" s="136"/>
    </row>
    <row r="433" ht="14.25" customHeight="1">
      <c r="B433" s="136"/>
    </row>
    <row r="434" ht="14.25" customHeight="1">
      <c r="B434" s="136"/>
    </row>
    <row r="435" ht="14.25" customHeight="1">
      <c r="B435" s="136"/>
    </row>
    <row r="436" ht="14.25" customHeight="1">
      <c r="B436" s="136"/>
    </row>
    <row r="437" ht="14.25" customHeight="1">
      <c r="B437" s="136"/>
    </row>
    <row r="438" ht="14.25" customHeight="1">
      <c r="B438" s="136"/>
    </row>
    <row r="439" ht="14.25" customHeight="1">
      <c r="B439" s="136"/>
    </row>
    <row r="440" ht="14.25" customHeight="1">
      <c r="B440" s="136"/>
    </row>
    <row r="441" ht="14.25" customHeight="1">
      <c r="B441" s="136"/>
    </row>
    <row r="442" ht="14.25" customHeight="1">
      <c r="B442" s="136"/>
    </row>
    <row r="443" ht="14.25" customHeight="1">
      <c r="B443" s="136"/>
    </row>
    <row r="444" ht="14.25" customHeight="1">
      <c r="B444" s="136"/>
    </row>
    <row r="445" ht="14.25" customHeight="1">
      <c r="B445" s="136"/>
    </row>
    <row r="446" ht="14.25" customHeight="1">
      <c r="B446" s="136"/>
    </row>
    <row r="447" ht="14.25" customHeight="1">
      <c r="B447" s="136"/>
    </row>
    <row r="448" ht="14.25" customHeight="1">
      <c r="B448" s="136"/>
    </row>
    <row r="449" ht="14.25" customHeight="1">
      <c r="B449" s="136"/>
    </row>
    <row r="450" ht="14.25" customHeight="1">
      <c r="B450" s="136"/>
    </row>
    <row r="451" ht="14.25" customHeight="1">
      <c r="B451" s="136"/>
    </row>
    <row r="452" ht="14.25" customHeight="1">
      <c r="B452" s="136"/>
    </row>
    <row r="453" ht="14.25" customHeight="1">
      <c r="B453" s="136"/>
    </row>
    <row r="454" ht="14.25" customHeight="1">
      <c r="B454" s="136"/>
    </row>
    <row r="455" ht="14.25" customHeight="1">
      <c r="B455" s="136"/>
    </row>
    <row r="456" ht="14.25" customHeight="1">
      <c r="B456" s="136"/>
    </row>
    <row r="457" ht="14.25" customHeight="1">
      <c r="B457" s="136"/>
    </row>
    <row r="458" ht="14.25" customHeight="1">
      <c r="B458" s="136"/>
    </row>
    <row r="459" ht="14.25" customHeight="1">
      <c r="B459" s="136"/>
    </row>
    <row r="460" ht="14.25" customHeight="1">
      <c r="B460" s="136"/>
    </row>
    <row r="461" ht="14.25" customHeight="1">
      <c r="B461" s="136"/>
    </row>
    <row r="462" ht="14.25" customHeight="1">
      <c r="B462" s="136"/>
    </row>
    <row r="463" ht="14.25" customHeight="1">
      <c r="B463" s="136"/>
    </row>
    <row r="464" ht="14.25" customHeight="1">
      <c r="B464" s="136"/>
    </row>
    <row r="465" ht="14.25" customHeight="1">
      <c r="B465" s="136"/>
    </row>
    <row r="466" ht="14.25" customHeight="1">
      <c r="B466" s="136"/>
    </row>
    <row r="467" ht="14.25" customHeight="1">
      <c r="B467" s="136"/>
    </row>
    <row r="468" ht="14.25" customHeight="1">
      <c r="B468" s="136"/>
    </row>
    <row r="469" ht="14.25" customHeight="1">
      <c r="B469" s="136"/>
    </row>
    <row r="470" ht="14.25" customHeight="1">
      <c r="B470" s="136"/>
    </row>
    <row r="471" ht="14.25" customHeight="1">
      <c r="B471" s="136"/>
    </row>
    <row r="472" ht="14.25" customHeight="1">
      <c r="B472" s="136"/>
    </row>
    <row r="473" ht="14.25" customHeight="1">
      <c r="B473" s="136"/>
    </row>
    <row r="474" ht="14.25" customHeight="1">
      <c r="B474" s="136"/>
    </row>
    <row r="475" ht="14.25" customHeight="1">
      <c r="B475" s="136"/>
    </row>
    <row r="476" ht="14.25" customHeight="1">
      <c r="B476" s="136"/>
    </row>
    <row r="477" ht="14.25" customHeight="1">
      <c r="B477" s="136"/>
    </row>
    <row r="478" ht="14.25" customHeight="1">
      <c r="B478" s="136"/>
    </row>
    <row r="479" ht="14.25" customHeight="1">
      <c r="B479" s="136"/>
    </row>
    <row r="480" ht="14.25" customHeight="1">
      <c r="B480" s="136"/>
    </row>
    <row r="481" ht="14.25" customHeight="1">
      <c r="B481" s="136"/>
    </row>
    <row r="482" ht="14.25" customHeight="1">
      <c r="B482" s="136"/>
    </row>
    <row r="483" ht="14.25" customHeight="1">
      <c r="B483" s="136"/>
    </row>
    <row r="484" ht="14.25" customHeight="1">
      <c r="B484" s="136"/>
    </row>
    <row r="485" ht="14.25" customHeight="1">
      <c r="B485" s="136"/>
    </row>
    <row r="486" ht="14.25" customHeight="1">
      <c r="B486" s="136"/>
    </row>
    <row r="487" ht="14.25" customHeight="1">
      <c r="B487" s="136"/>
    </row>
    <row r="488" ht="14.25" customHeight="1">
      <c r="B488" s="136"/>
    </row>
    <row r="489" ht="14.25" customHeight="1">
      <c r="B489" s="136"/>
    </row>
    <row r="490" ht="14.25" customHeight="1">
      <c r="B490" s="136"/>
    </row>
    <row r="491" ht="14.25" customHeight="1">
      <c r="B491" s="136"/>
    </row>
    <row r="492" ht="14.25" customHeight="1">
      <c r="B492" s="136"/>
    </row>
    <row r="493" ht="14.25" customHeight="1">
      <c r="B493" s="136"/>
    </row>
    <row r="494" ht="14.25" customHeight="1">
      <c r="B494" s="136"/>
    </row>
    <row r="495" ht="14.25" customHeight="1">
      <c r="B495" s="136"/>
    </row>
    <row r="496" ht="14.25" customHeight="1">
      <c r="B496" s="136"/>
    </row>
    <row r="497" ht="14.25" customHeight="1">
      <c r="B497" s="136"/>
    </row>
    <row r="498" ht="14.25" customHeight="1">
      <c r="B498" s="136"/>
    </row>
    <row r="499" ht="14.25" customHeight="1">
      <c r="B499" s="136"/>
    </row>
    <row r="500" ht="14.25" customHeight="1">
      <c r="B500" s="136"/>
    </row>
    <row r="501" ht="14.25" customHeight="1">
      <c r="B501" s="136"/>
    </row>
    <row r="502" ht="14.25" customHeight="1">
      <c r="B502" s="136"/>
    </row>
    <row r="503" ht="14.25" customHeight="1">
      <c r="B503" s="136"/>
    </row>
    <row r="504" ht="14.25" customHeight="1">
      <c r="B504" s="136"/>
    </row>
    <row r="505" ht="14.25" customHeight="1">
      <c r="B505" s="136"/>
    </row>
    <row r="506" ht="14.25" customHeight="1">
      <c r="B506" s="136"/>
    </row>
    <row r="507" ht="14.25" customHeight="1">
      <c r="B507" s="136"/>
    </row>
    <row r="508" ht="14.25" customHeight="1">
      <c r="B508" s="136"/>
    </row>
    <row r="509" ht="14.25" customHeight="1">
      <c r="B509" s="136"/>
    </row>
    <row r="510" ht="14.25" customHeight="1">
      <c r="B510" s="136"/>
    </row>
    <row r="511" ht="14.25" customHeight="1">
      <c r="B511" s="136"/>
    </row>
    <row r="512" ht="14.25" customHeight="1">
      <c r="B512" s="136"/>
    </row>
    <row r="513" ht="14.25" customHeight="1">
      <c r="B513" s="136"/>
    </row>
    <row r="514" ht="14.25" customHeight="1">
      <c r="B514" s="136"/>
    </row>
    <row r="515" ht="14.25" customHeight="1">
      <c r="B515" s="136"/>
    </row>
    <row r="516" ht="14.25" customHeight="1">
      <c r="B516" s="136"/>
    </row>
    <row r="517" ht="14.25" customHeight="1">
      <c r="B517" s="136"/>
    </row>
    <row r="518" ht="14.25" customHeight="1">
      <c r="B518" s="136"/>
    </row>
    <row r="519" ht="14.25" customHeight="1">
      <c r="B519" s="136"/>
    </row>
    <row r="520" ht="14.25" customHeight="1">
      <c r="B520" s="136"/>
    </row>
    <row r="521" ht="14.25" customHeight="1">
      <c r="B521" s="136"/>
    </row>
    <row r="522" ht="14.25" customHeight="1">
      <c r="B522" s="136"/>
    </row>
    <row r="523" ht="14.25" customHeight="1">
      <c r="B523" s="136"/>
    </row>
    <row r="524" ht="14.25" customHeight="1">
      <c r="B524" s="136"/>
    </row>
    <row r="525" ht="14.25" customHeight="1">
      <c r="B525" s="136"/>
    </row>
    <row r="526" ht="14.25" customHeight="1">
      <c r="B526" s="136"/>
    </row>
    <row r="527" ht="14.25" customHeight="1">
      <c r="B527" s="136"/>
    </row>
    <row r="528" ht="14.25" customHeight="1">
      <c r="B528" s="136"/>
    </row>
    <row r="529" ht="14.25" customHeight="1">
      <c r="B529" s="136"/>
    </row>
    <row r="530" ht="14.25" customHeight="1">
      <c r="B530" s="136"/>
    </row>
    <row r="531" ht="14.25" customHeight="1">
      <c r="B531" s="136"/>
    </row>
    <row r="532" ht="14.25" customHeight="1">
      <c r="B532" s="136"/>
    </row>
    <row r="533" ht="14.25" customHeight="1">
      <c r="B533" s="136"/>
    </row>
    <row r="534" ht="14.25" customHeight="1">
      <c r="B534" s="136"/>
    </row>
    <row r="535" ht="14.25" customHeight="1">
      <c r="B535" s="136"/>
    </row>
    <row r="536" ht="14.25" customHeight="1">
      <c r="B536" s="136"/>
    </row>
    <row r="537" ht="14.25" customHeight="1">
      <c r="B537" s="136"/>
    </row>
    <row r="538" ht="14.25" customHeight="1">
      <c r="B538" s="136"/>
    </row>
    <row r="539" ht="14.25" customHeight="1">
      <c r="B539" s="136"/>
    </row>
    <row r="540" ht="14.25" customHeight="1">
      <c r="B540" s="136"/>
    </row>
    <row r="541" ht="14.25" customHeight="1">
      <c r="B541" s="136"/>
    </row>
    <row r="542" ht="14.25" customHeight="1">
      <c r="B542" s="136"/>
    </row>
    <row r="543" ht="14.25" customHeight="1">
      <c r="B543" s="136"/>
    </row>
    <row r="544" ht="14.25" customHeight="1">
      <c r="B544" s="136"/>
    </row>
    <row r="545" ht="14.25" customHeight="1">
      <c r="B545" s="136"/>
    </row>
    <row r="546" ht="14.25" customHeight="1">
      <c r="B546" s="136"/>
    </row>
    <row r="547" ht="14.25" customHeight="1">
      <c r="B547" s="136"/>
    </row>
    <row r="548" ht="14.25" customHeight="1">
      <c r="B548" s="136"/>
    </row>
    <row r="549" ht="14.25" customHeight="1">
      <c r="B549" s="136"/>
    </row>
    <row r="550" ht="14.25" customHeight="1">
      <c r="B550" s="136"/>
    </row>
    <row r="551" ht="14.25" customHeight="1">
      <c r="B551" s="136"/>
    </row>
    <row r="552" ht="14.25" customHeight="1">
      <c r="B552" s="136"/>
    </row>
    <row r="553" ht="14.25" customHeight="1">
      <c r="B553" s="136"/>
    </row>
    <row r="554" ht="14.25" customHeight="1">
      <c r="B554" s="136"/>
    </row>
    <row r="555" ht="14.25" customHeight="1">
      <c r="B555" s="136"/>
    </row>
    <row r="556" ht="14.25" customHeight="1">
      <c r="B556" s="136"/>
    </row>
    <row r="557" ht="14.25" customHeight="1">
      <c r="B557" s="136"/>
    </row>
    <row r="558" ht="14.25" customHeight="1">
      <c r="B558" s="136"/>
    </row>
    <row r="559" ht="14.25" customHeight="1">
      <c r="B559" s="136"/>
    </row>
    <row r="560" ht="14.25" customHeight="1">
      <c r="B560" s="136"/>
    </row>
    <row r="561" ht="14.25" customHeight="1">
      <c r="B561" s="136"/>
    </row>
    <row r="562" ht="14.25" customHeight="1">
      <c r="B562" s="136"/>
    </row>
    <row r="563" ht="14.25" customHeight="1">
      <c r="B563" s="136"/>
    </row>
    <row r="564" ht="14.25" customHeight="1">
      <c r="B564" s="136"/>
    </row>
    <row r="565" ht="14.25" customHeight="1">
      <c r="B565" s="136"/>
    </row>
    <row r="566" ht="14.25" customHeight="1">
      <c r="B566" s="136"/>
    </row>
    <row r="567" ht="14.25" customHeight="1">
      <c r="B567" s="136"/>
    </row>
    <row r="568" ht="14.25" customHeight="1">
      <c r="B568" s="136"/>
    </row>
    <row r="569" ht="14.25" customHeight="1">
      <c r="B569" s="136"/>
    </row>
    <row r="570" ht="14.25" customHeight="1">
      <c r="B570" s="136"/>
    </row>
    <row r="571" ht="14.25" customHeight="1">
      <c r="B571" s="136"/>
    </row>
    <row r="572" ht="14.25" customHeight="1">
      <c r="B572" s="136"/>
    </row>
    <row r="573" ht="14.25" customHeight="1">
      <c r="B573" s="136"/>
    </row>
    <row r="574" ht="14.25" customHeight="1">
      <c r="B574" s="136"/>
    </row>
    <row r="575" ht="14.25" customHeight="1">
      <c r="B575" s="136"/>
    </row>
    <row r="576" ht="14.25" customHeight="1">
      <c r="B576" s="136"/>
    </row>
    <row r="577" ht="14.25" customHeight="1">
      <c r="B577" s="136"/>
    </row>
    <row r="578" ht="14.25" customHeight="1">
      <c r="B578" s="136"/>
    </row>
    <row r="579" ht="14.25" customHeight="1">
      <c r="B579" s="136"/>
    </row>
    <row r="580" ht="14.25" customHeight="1">
      <c r="B580" s="136"/>
    </row>
    <row r="581" ht="14.25" customHeight="1">
      <c r="B581" s="136"/>
    </row>
    <row r="582" ht="14.25" customHeight="1">
      <c r="B582" s="136"/>
    </row>
    <row r="583" ht="14.25" customHeight="1">
      <c r="B583" s="136"/>
    </row>
    <row r="584" ht="14.25" customHeight="1">
      <c r="B584" s="136"/>
    </row>
    <row r="585" ht="14.25" customHeight="1">
      <c r="B585" s="136"/>
    </row>
    <row r="586" ht="14.25" customHeight="1">
      <c r="B586" s="136"/>
    </row>
    <row r="587" ht="14.25" customHeight="1">
      <c r="B587" s="136"/>
    </row>
    <row r="588" ht="14.25" customHeight="1">
      <c r="B588" s="136"/>
    </row>
    <row r="589" ht="14.25" customHeight="1">
      <c r="B589" s="136"/>
    </row>
    <row r="590" ht="14.25" customHeight="1">
      <c r="B590" s="136"/>
    </row>
    <row r="591" ht="14.25" customHeight="1">
      <c r="B591" s="136"/>
    </row>
    <row r="592" ht="14.25" customHeight="1">
      <c r="B592" s="136"/>
    </row>
    <row r="593" ht="14.25" customHeight="1">
      <c r="B593" s="136"/>
    </row>
    <row r="594" ht="14.25" customHeight="1">
      <c r="B594" s="136"/>
    </row>
    <row r="595" ht="14.25" customHeight="1">
      <c r="B595" s="136"/>
    </row>
    <row r="596" ht="14.25" customHeight="1">
      <c r="B596" s="136"/>
    </row>
    <row r="597" ht="14.25" customHeight="1">
      <c r="B597" s="136"/>
    </row>
    <row r="598" ht="14.25" customHeight="1">
      <c r="B598" s="136"/>
    </row>
    <row r="599" ht="14.25" customHeight="1">
      <c r="B599" s="136"/>
    </row>
    <row r="600" ht="14.25" customHeight="1">
      <c r="B600" s="136"/>
    </row>
    <row r="601" ht="14.25" customHeight="1">
      <c r="B601" s="136"/>
    </row>
    <row r="602" ht="14.25" customHeight="1">
      <c r="B602" s="136"/>
    </row>
    <row r="603" ht="14.25" customHeight="1">
      <c r="B603" s="136"/>
    </row>
    <row r="604" ht="14.25" customHeight="1">
      <c r="B604" s="136"/>
    </row>
    <row r="605" ht="14.25" customHeight="1">
      <c r="B605" s="136"/>
    </row>
    <row r="606" ht="14.25" customHeight="1">
      <c r="B606" s="136"/>
    </row>
    <row r="607" ht="14.25" customHeight="1">
      <c r="B607" s="136"/>
    </row>
    <row r="608" ht="14.25" customHeight="1">
      <c r="B608" s="136"/>
    </row>
    <row r="609" ht="14.25" customHeight="1">
      <c r="B609" s="136"/>
    </row>
    <row r="610" ht="14.25" customHeight="1">
      <c r="B610" s="136"/>
    </row>
    <row r="611" ht="14.25" customHeight="1">
      <c r="B611" s="136"/>
    </row>
    <row r="612" ht="14.25" customHeight="1">
      <c r="B612" s="136"/>
    </row>
    <row r="613" ht="14.25" customHeight="1">
      <c r="B613" s="136"/>
    </row>
    <row r="614" ht="14.25" customHeight="1">
      <c r="B614" s="136"/>
    </row>
    <row r="615" ht="14.25" customHeight="1">
      <c r="B615" s="136"/>
    </row>
    <row r="616" ht="14.25" customHeight="1">
      <c r="B616" s="136"/>
    </row>
    <row r="617" ht="14.25" customHeight="1">
      <c r="B617" s="136"/>
    </row>
    <row r="618" ht="14.25" customHeight="1">
      <c r="B618" s="136"/>
    </row>
    <row r="619" ht="14.25" customHeight="1">
      <c r="B619" s="136"/>
    </row>
    <row r="620" ht="14.25" customHeight="1">
      <c r="B620" s="136"/>
    </row>
    <row r="621" ht="14.25" customHeight="1">
      <c r="B621" s="136"/>
    </row>
    <row r="622" ht="14.25" customHeight="1">
      <c r="B622" s="136"/>
    </row>
    <row r="623" ht="14.25" customHeight="1">
      <c r="B623" s="136"/>
    </row>
    <row r="624" ht="14.25" customHeight="1">
      <c r="B624" s="136"/>
    </row>
    <row r="625" ht="14.25" customHeight="1">
      <c r="B625" s="136"/>
    </row>
    <row r="626" ht="14.25" customHeight="1">
      <c r="B626" s="136"/>
    </row>
    <row r="627" ht="14.25" customHeight="1">
      <c r="B627" s="136"/>
    </row>
    <row r="628" ht="14.25" customHeight="1">
      <c r="B628" s="136"/>
    </row>
    <row r="629" ht="14.25" customHeight="1">
      <c r="B629" s="136"/>
    </row>
    <row r="630" ht="14.25" customHeight="1">
      <c r="B630" s="136"/>
    </row>
    <row r="631" ht="14.25" customHeight="1">
      <c r="B631" s="136"/>
    </row>
    <row r="632" ht="14.25" customHeight="1">
      <c r="B632" s="136"/>
    </row>
    <row r="633" ht="14.25" customHeight="1">
      <c r="B633" s="136"/>
    </row>
    <row r="634" ht="14.25" customHeight="1">
      <c r="B634" s="136"/>
    </row>
    <row r="635" ht="14.25" customHeight="1">
      <c r="B635" s="136"/>
    </row>
    <row r="636" ht="14.25" customHeight="1">
      <c r="B636" s="136"/>
    </row>
    <row r="637" ht="14.25" customHeight="1">
      <c r="B637" s="136"/>
    </row>
    <row r="638" ht="14.25" customHeight="1">
      <c r="B638" s="136"/>
    </row>
    <row r="639" ht="14.25" customHeight="1">
      <c r="B639" s="136"/>
    </row>
    <row r="640" ht="14.25" customHeight="1">
      <c r="B640" s="136"/>
    </row>
    <row r="641" ht="14.25" customHeight="1">
      <c r="B641" s="136"/>
    </row>
    <row r="642" ht="14.25" customHeight="1">
      <c r="B642" s="136"/>
    </row>
    <row r="643" ht="14.25" customHeight="1">
      <c r="B643" s="136"/>
    </row>
    <row r="644" ht="14.25" customHeight="1">
      <c r="B644" s="136"/>
    </row>
    <row r="645" ht="14.25" customHeight="1">
      <c r="B645" s="136"/>
    </row>
    <row r="646" ht="14.25" customHeight="1">
      <c r="B646" s="136"/>
    </row>
    <row r="647" ht="14.25" customHeight="1">
      <c r="B647" s="136"/>
    </row>
    <row r="648" ht="14.25" customHeight="1">
      <c r="B648" s="136"/>
    </row>
    <row r="649" ht="14.25" customHeight="1">
      <c r="B649" s="136"/>
    </row>
    <row r="650" ht="14.25" customHeight="1">
      <c r="B650" s="136"/>
    </row>
    <row r="651" ht="14.25" customHeight="1">
      <c r="B651" s="136"/>
    </row>
    <row r="652" ht="14.25" customHeight="1">
      <c r="B652" s="136"/>
    </row>
    <row r="653" ht="14.25" customHeight="1">
      <c r="B653" s="136"/>
    </row>
    <row r="654" ht="14.25" customHeight="1">
      <c r="B654" s="136"/>
    </row>
    <row r="655" ht="14.25" customHeight="1">
      <c r="B655" s="136"/>
    </row>
    <row r="656" ht="14.25" customHeight="1">
      <c r="B656" s="136"/>
    </row>
    <row r="657" ht="14.25" customHeight="1">
      <c r="B657" s="136"/>
    </row>
    <row r="658" ht="14.25" customHeight="1">
      <c r="B658" s="136"/>
    </row>
    <row r="659" ht="14.25" customHeight="1">
      <c r="B659" s="136"/>
    </row>
    <row r="660" ht="14.25" customHeight="1">
      <c r="B660" s="136"/>
    </row>
    <row r="661" ht="14.25" customHeight="1">
      <c r="B661" s="136"/>
    </row>
    <row r="662" ht="14.25" customHeight="1">
      <c r="B662" s="136"/>
    </row>
    <row r="663" ht="14.25" customHeight="1">
      <c r="B663" s="136"/>
    </row>
    <row r="664" ht="14.25" customHeight="1">
      <c r="B664" s="136"/>
    </row>
    <row r="665" ht="14.25" customHeight="1">
      <c r="B665" s="136"/>
    </row>
    <row r="666" ht="14.25" customHeight="1">
      <c r="B666" s="136"/>
    </row>
    <row r="667" ht="14.25" customHeight="1">
      <c r="B667" s="136"/>
    </row>
    <row r="668" ht="14.25" customHeight="1">
      <c r="B668" s="136"/>
    </row>
    <row r="669" ht="14.25" customHeight="1">
      <c r="B669" s="136"/>
    </row>
    <row r="670" ht="14.25" customHeight="1">
      <c r="B670" s="136"/>
    </row>
    <row r="671" ht="14.25" customHeight="1">
      <c r="B671" s="136"/>
    </row>
    <row r="672" ht="14.25" customHeight="1">
      <c r="B672" s="136"/>
    </row>
    <row r="673" ht="14.25" customHeight="1">
      <c r="B673" s="136"/>
    </row>
    <row r="674" ht="14.25" customHeight="1">
      <c r="B674" s="136"/>
    </row>
    <row r="675" ht="14.25" customHeight="1">
      <c r="B675" s="136"/>
    </row>
    <row r="676" ht="14.25" customHeight="1">
      <c r="B676" s="136"/>
    </row>
    <row r="677" ht="14.25" customHeight="1">
      <c r="B677" s="136"/>
    </row>
    <row r="678" ht="14.25" customHeight="1">
      <c r="B678" s="136"/>
    </row>
    <row r="679" ht="14.25" customHeight="1">
      <c r="B679" s="136"/>
    </row>
    <row r="680" ht="14.25" customHeight="1">
      <c r="B680" s="136"/>
    </row>
    <row r="681" ht="14.25" customHeight="1">
      <c r="B681" s="136"/>
    </row>
    <row r="682" ht="14.25" customHeight="1">
      <c r="B682" s="136"/>
    </row>
    <row r="683" ht="14.25" customHeight="1">
      <c r="B683" s="136"/>
    </row>
    <row r="684" ht="14.25" customHeight="1">
      <c r="B684" s="136"/>
    </row>
    <row r="685" ht="14.25" customHeight="1">
      <c r="B685" s="136"/>
    </row>
    <row r="686" ht="14.25" customHeight="1">
      <c r="B686" s="136"/>
    </row>
    <row r="687" ht="14.25" customHeight="1">
      <c r="B687" s="136"/>
    </row>
    <row r="688" ht="14.25" customHeight="1">
      <c r="B688" s="136"/>
    </row>
    <row r="689" ht="14.25" customHeight="1">
      <c r="B689" s="136"/>
    </row>
    <row r="690" ht="14.25" customHeight="1">
      <c r="B690" s="136"/>
    </row>
    <row r="691" ht="14.25" customHeight="1">
      <c r="B691" s="136"/>
    </row>
    <row r="692" ht="14.25" customHeight="1">
      <c r="B692" s="136"/>
    </row>
    <row r="693" ht="14.25" customHeight="1">
      <c r="B693" s="136"/>
    </row>
    <row r="694" ht="14.25" customHeight="1">
      <c r="B694" s="136"/>
    </row>
    <row r="695" ht="14.25" customHeight="1">
      <c r="B695" s="136"/>
    </row>
    <row r="696" ht="14.25" customHeight="1">
      <c r="B696" s="136"/>
    </row>
    <row r="697" ht="14.25" customHeight="1">
      <c r="B697" s="136"/>
    </row>
    <row r="698" ht="14.25" customHeight="1">
      <c r="B698" s="136"/>
    </row>
    <row r="699" ht="14.25" customHeight="1">
      <c r="B699" s="136"/>
    </row>
    <row r="700" ht="14.25" customHeight="1">
      <c r="B700" s="136"/>
    </row>
    <row r="701" ht="14.25" customHeight="1">
      <c r="B701" s="136"/>
    </row>
    <row r="702" ht="14.25" customHeight="1">
      <c r="B702" s="136"/>
    </row>
    <row r="703" ht="14.25" customHeight="1">
      <c r="B703" s="136"/>
    </row>
    <row r="704" ht="14.25" customHeight="1">
      <c r="B704" s="136"/>
    </row>
    <row r="705" ht="14.25" customHeight="1">
      <c r="B705" s="136"/>
    </row>
    <row r="706" ht="14.25" customHeight="1">
      <c r="B706" s="136"/>
    </row>
    <row r="707" ht="14.25" customHeight="1">
      <c r="B707" s="136"/>
    </row>
    <row r="708" ht="14.25" customHeight="1">
      <c r="B708" s="136"/>
    </row>
    <row r="709" ht="14.25" customHeight="1">
      <c r="B709" s="136"/>
    </row>
    <row r="710" ht="14.25" customHeight="1">
      <c r="B710" s="136"/>
    </row>
    <row r="711" ht="14.25" customHeight="1">
      <c r="B711" s="136"/>
    </row>
    <row r="712" ht="14.25" customHeight="1">
      <c r="B712" s="136"/>
    </row>
    <row r="713" ht="14.25" customHeight="1">
      <c r="B713" s="136"/>
    </row>
    <row r="714" ht="14.25" customHeight="1">
      <c r="B714" s="136"/>
    </row>
    <row r="715" ht="14.25" customHeight="1">
      <c r="B715" s="136"/>
    </row>
    <row r="716" ht="14.25" customHeight="1">
      <c r="B716" s="136"/>
    </row>
    <row r="717" ht="14.25" customHeight="1">
      <c r="B717" s="136"/>
    </row>
    <row r="718" ht="14.25" customHeight="1">
      <c r="B718" s="136"/>
    </row>
    <row r="719" ht="14.25" customHeight="1">
      <c r="B719" s="136"/>
    </row>
    <row r="720" ht="14.25" customHeight="1">
      <c r="B720" s="136"/>
    </row>
    <row r="721" ht="14.25" customHeight="1">
      <c r="B721" s="136"/>
    </row>
    <row r="722" ht="14.25" customHeight="1">
      <c r="B722" s="136"/>
    </row>
    <row r="723" ht="14.25" customHeight="1">
      <c r="B723" s="136"/>
    </row>
    <row r="724" ht="14.25" customHeight="1">
      <c r="B724" s="136"/>
    </row>
    <row r="725" ht="14.25" customHeight="1">
      <c r="B725" s="136"/>
    </row>
    <row r="726" ht="14.25" customHeight="1">
      <c r="B726" s="136"/>
    </row>
    <row r="727" ht="14.25" customHeight="1">
      <c r="B727" s="136"/>
    </row>
    <row r="728" ht="14.25" customHeight="1">
      <c r="B728" s="136"/>
    </row>
    <row r="729" ht="14.25" customHeight="1">
      <c r="B729" s="136"/>
    </row>
    <row r="730" ht="14.25" customHeight="1">
      <c r="B730" s="136"/>
    </row>
    <row r="731" ht="14.25" customHeight="1">
      <c r="B731" s="136"/>
    </row>
    <row r="732" ht="14.25" customHeight="1">
      <c r="B732" s="136"/>
    </row>
    <row r="733" ht="14.25" customHeight="1">
      <c r="B733" s="136"/>
    </row>
    <row r="734" ht="14.25" customHeight="1">
      <c r="B734" s="136"/>
    </row>
    <row r="735" ht="14.25" customHeight="1">
      <c r="B735" s="136"/>
    </row>
    <row r="736" ht="14.25" customHeight="1">
      <c r="B736" s="136"/>
    </row>
    <row r="737" ht="14.25" customHeight="1">
      <c r="B737" s="136"/>
    </row>
    <row r="738" ht="14.25" customHeight="1">
      <c r="B738" s="136"/>
    </row>
    <row r="739" ht="14.25" customHeight="1">
      <c r="B739" s="136"/>
    </row>
    <row r="740" ht="14.25" customHeight="1">
      <c r="B740" s="136"/>
    </row>
    <row r="741" ht="14.25" customHeight="1">
      <c r="B741" s="136"/>
    </row>
    <row r="742" ht="14.25" customHeight="1">
      <c r="B742" s="136"/>
    </row>
    <row r="743" ht="14.25" customHeight="1">
      <c r="B743" s="136"/>
    </row>
    <row r="744" ht="14.25" customHeight="1">
      <c r="B744" s="136"/>
    </row>
    <row r="745" ht="14.25" customHeight="1">
      <c r="B745" s="136"/>
    </row>
    <row r="746" ht="14.25" customHeight="1">
      <c r="B746" s="136"/>
    </row>
    <row r="747" ht="14.25" customHeight="1">
      <c r="B747" s="136"/>
    </row>
    <row r="748" ht="14.25" customHeight="1">
      <c r="B748" s="136"/>
    </row>
    <row r="749" ht="14.25" customHeight="1">
      <c r="B749" s="136"/>
    </row>
    <row r="750" ht="14.25" customHeight="1">
      <c r="B750" s="136"/>
    </row>
    <row r="751" ht="14.25" customHeight="1">
      <c r="B751" s="136"/>
    </row>
    <row r="752" ht="14.25" customHeight="1">
      <c r="B752" s="136"/>
    </row>
    <row r="753" ht="14.25" customHeight="1">
      <c r="B753" s="136"/>
    </row>
    <row r="754" ht="14.25" customHeight="1">
      <c r="B754" s="136"/>
    </row>
    <row r="755" ht="14.25" customHeight="1">
      <c r="B755" s="136"/>
    </row>
    <row r="756" ht="14.25" customHeight="1">
      <c r="B756" s="136"/>
    </row>
    <row r="757" ht="14.25" customHeight="1">
      <c r="B757" s="136"/>
    </row>
    <row r="758" ht="14.25" customHeight="1">
      <c r="B758" s="136"/>
    </row>
    <row r="759" ht="14.25" customHeight="1">
      <c r="B759" s="136"/>
    </row>
    <row r="760" ht="14.25" customHeight="1">
      <c r="B760" s="136"/>
    </row>
    <row r="761" ht="14.25" customHeight="1">
      <c r="B761" s="136"/>
    </row>
    <row r="762" ht="14.25" customHeight="1">
      <c r="B762" s="136"/>
    </row>
    <row r="763" ht="14.25" customHeight="1">
      <c r="B763" s="136"/>
    </row>
    <row r="764" ht="14.25" customHeight="1">
      <c r="B764" s="136"/>
    </row>
    <row r="765" ht="14.25" customHeight="1">
      <c r="B765" s="136"/>
    </row>
    <row r="766" ht="14.25" customHeight="1">
      <c r="B766" s="136"/>
    </row>
    <row r="767" ht="14.25" customHeight="1">
      <c r="B767" s="136"/>
    </row>
    <row r="768" ht="14.25" customHeight="1">
      <c r="B768" s="136"/>
    </row>
    <row r="769" ht="14.25" customHeight="1">
      <c r="B769" s="136"/>
    </row>
    <row r="770" ht="14.25" customHeight="1">
      <c r="B770" s="136"/>
    </row>
    <row r="771" ht="14.25" customHeight="1">
      <c r="B771" s="136"/>
    </row>
    <row r="772" ht="14.25" customHeight="1">
      <c r="B772" s="136"/>
    </row>
    <row r="773" ht="14.25" customHeight="1">
      <c r="B773" s="136"/>
    </row>
    <row r="774" ht="14.25" customHeight="1">
      <c r="B774" s="136"/>
    </row>
    <row r="775" ht="14.25" customHeight="1">
      <c r="B775" s="136"/>
    </row>
    <row r="776" ht="14.25" customHeight="1">
      <c r="B776" s="136"/>
    </row>
    <row r="777" ht="14.25" customHeight="1">
      <c r="B777" s="136"/>
    </row>
    <row r="778" ht="14.25" customHeight="1">
      <c r="B778" s="136"/>
    </row>
    <row r="779" ht="14.25" customHeight="1">
      <c r="B779" s="136"/>
    </row>
    <row r="780" ht="14.25" customHeight="1">
      <c r="B780" s="136"/>
    </row>
    <row r="781" ht="14.25" customHeight="1">
      <c r="B781" s="136"/>
    </row>
    <row r="782" ht="14.25" customHeight="1">
      <c r="B782" s="136"/>
    </row>
    <row r="783" ht="14.25" customHeight="1">
      <c r="B783" s="136"/>
    </row>
    <row r="784" ht="14.25" customHeight="1">
      <c r="B784" s="136"/>
    </row>
    <row r="785" ht="14.25" customHeight="1">
      <c r="B785" s="136"/>
    </row>
    <row r="786" ht="14.25" customHeight="1">
      <c r="B786" s="136"/>
    </row>
    <row r="787" ht="14.25" customHeight="1">
      <c r="B787" s="136"/>
    </row>
    <row r="788" ht="14.25" customHeight="1">
      <c r="B788" s="136"/>
    </row>
    <row r="789" ht="14.25" customHeight="1">
      <c r="B789" s="136"/>
    </row>
    <row r="790" ht="14.25" customHeight="1">
      <c r="B790" s="136"/>
    </row>
    <row r="791" ht="14.25" customHeight="1">
      <c r="B791" s="136"/>
    </row>
    <row r="792" ht="14.25" customHeight="1">
      <c r="B792" s="136"/>
    </row>
    <row r="793" ht="14.25" customHeight="1">
      <c r="B793" s="136"/>
    </row>
    <row r="794" ht="14.25" customHeight="1">
      <c r="B794" s="136"/>
    </row>
    <row r="795" ht="14.25" customHeight="1">
      <c r="B795" s="136"/>
    </row>
    <row r="796" ht="14.25" customHeight="1">
      <c r="B796" s="136"/>
    </row>
    <row r="797" ht="14.25" customHeight="1">
      <c r="B797" s="136"/>
    </row>
    <row r="798" ht="14.25" customHeight="1">
      <c r="B798" s="136"/>
    </row>
    <row r="799" ht="14.25" customHeight="1">
      <c r="B799" s="136"/>
    </row>
    <row r="800" ht="14.25" customHeight="1">
      <c r="B800" s="136"/>
    </row>
    <row r="801" ht="14.25" customHeight="1">
      <c r="B801" s="136"/>
    </row>
    <row r="802" ht="14.25" customHeight="1">
      <c r="B802" s="136"/>
    </row>
    <row r="803" ht="14.25" customHeight="1">
      <c r="B803" s="136"/>
    </row>
    <row r="804" ht="14.25" customHeight="1">
      <c r="B804" s="136"/>
    </row>
    <row r="805" ht="14.25" customHeight="1">
      <c r="B805" s="136"/>
    </row>
    <row r="806" ht="14.25" customHeight="1">
      <c r="B806" s="136"/>
    </row>
    <row r="807" ht="14.25" customHeight="1">
      <c r="B807" s="136"/>
    </row>
    <row r="808" ht="14.25" customHeight="1">
      <c r="B808" s="136"/>
    </row>
    <row r="809" ht="14.25" customHeight="1">
      <c r="B809" s="136"/>
    </row>
    <row r="810" ht="14.25" customHeight="1">
      <c r="B810" s="136"/>
    </row>
    <row r="811" ht="14.25" customHeight="1">
      <c r="B811" s="136"/>
    </row>
    <row r="812" ht="14.25" customHeight="1">
      <c r="B812" s="136"/>
    </row>
    <row r="813" ht="14.25" customHeight="1">
      <c r="B813" s="136"/>
    </row>
    <row r="814" ht="14.25" customHeight="1">
      <c r="B814" s="136"/>
    </row>
    <row r="815" ht="14.25" customHeight="1">
      <c r="B815" s="136"/>
    </row>
    <row r="816" ht="14.25" customHeight="1">
      <c r="B816" s="136"/>
    </row>
    <row r="817" ht="14.25" customHeight="1">
      <c r="B817" s="136"/>
    </row>
    <row r="818" ht="14.25" customHeight="1">
      <c r="B818" s="136"/>
    </row>
    <row r="819" ht="14.25" customHeight="1">
      <c r="B819" s="136"/>
    </row>
    <row r="820" ht="14.25" customHeight="1">
      <c r="B820" s="136"/>
    </row>
    <row r="821" ht="14.25" customHeight="1">
      <c r="B821" s="136"/>
    </row>
    <row r="822" ht="14.25" customHeight="1">
      <c r="B822" s="136"/>
    </row>
    <row r="823" ht="14.25" customHeight="1">
      <c r="B823" s="136"/>
    </row>
    <row r="824" ht="14.25" customHeight="1">
      <c r="B824" s="136"/>
    </row>
    <row r="825" ht="14.25" customHeight="1">
      <c r="B825" s="136"/>
    </row>
    <row r="826" ht="14.25" customHeight="1">
      <c r="B826" s="136"/>
    </row>
    <row r="827" ht="14.25" customHeight="1">
      <c r="B827" s="136"/>
    </row>
    <row r="828" ht="14.25" customHeight="1">
      <c r="B828" s="136"/>
    </row>
    <row r="829" ht="14.25" customHeight="1">
      <c r="B829" s="136"/>
    </row>
    <row r="830" ht="14.25" customHeight="1">
      <c r="B830" s="136"/>
    </row>
    <row r="831" ht="14.25" customHeight="1">
      <c r="B831" s="136"/>
    </row>
    <row r="832" ht="14.25" customHeight="1">
      <c r="B832" s="136"/>
    </row>
    <row r="833" ht="14.25" customHeight="1">
      <c r="B833" s="136"/>
    </row>
    <row r="834" ht="14.25" customHeight="1">
      <c r="B834" s="136"/>
    </row>
    <row r="835" ht="14.25" customHeight="1">
      <c r="B835" s="136"/>
    </row>
    <row r="836" ht="14.25" customHeight="1">
      <c r="B836" s="136"/>
    </row>
    <row r="837" ht="14.25" customHeight="1">
      <c r="B837" s="136"/>
    </row>
    <row r="838" ht="14.25" customHeight="1">
      <c r="B838" s="136"/>
    </row>
    <row r="839" ht="14.25" customHeight="1">
      <c r="B839" s="136"/>
    </row>
    <row r="840" ht="14.25" customHeight="1">
      <c r="B840" s="136"/>
    </row>
    <row r="841" ht="14.25" customHeight="1">
      <c r="B841" s="136"/>
    </row>
    <row r="842" ht="14.25" customHeight="1">
      <c r="B842" s="136"/>
    </row>
    <row r="843" ht="14.25" customHeight="1">
      <c r="B843" s="136"/>
    </row>
    <row r="844" ht="14.25" customHeight="1">
      <c r="B844" s="136"/>
    </row>
    <row r="845" ht="14.25" customHeight="1">
      <c r="B845" s="136"/>
    </row>
    <row r="846" ht="14.25" customHeight="1">
      <c r="B846" s="136"/>
    </row>
    <row r="847" ht="14.25" customHeight="1">
      <c r="B847" s="136"/>
    </row>
    <row r="848" ht="14.25" customHeight="1">
      <c r="B848" s="136"/>
    </row>
    <row r="849" ht="14.25" customHeight="1">
      <c r="B849" s="136"/>
    </row>
    <row r="850" ht="14.25" customHeight="1">
      <c r="B850" s="136"/>
    </row>
    <row r="851" ht="14.25" customHeight="1">
      <c r="B851" s="136"/>
    </row>
    <row r="852" ht="14.25" customHeight="1">
      <c r="B852" s="136"/>
    </row>
    <row r="853" ht="14.25" customHeight="1">
      <c r="B853" s="136"/>
    </row>
    <row r="854" ht="14.25" customHeight="1">
      <c r="B854" s="136"/>
    </row>
    <row r="855" ht="14.25" customHeight="1">
      <c r="B855" s="136"/>
    </row>
    <row r="856" ht="14.25" customHeight="1">
      <c r="B856" s="136"/>
    </row>
    <row r="857" ht="14.25" customHeight="1">
      <c r="B857" s="136"/>
    </row>
    <row r="858" ht="14.25" customHeight="1">
      <c r="B858" s="136"/>
    </row>
    <row r="859" ht="14.25" customHeight="1">
      <c r="B859" s="136"/>
    </row>
    <row r="860" ht="14.25" customHeight="1">
      <c r="B860" s="136"/>
    </row>
    <row r="861" ht="14.25" customHeight="1">
      <c r="B861" s="136"/>
    </row>
    <row r="862" ht="14.25" customHeight="1">
      <c r="B862" s="136"/>
    </row>
    <row r="863" ht="14.25" customHeight="1">
      <c r="B863" s="136"/>
    </row>
    <row r="864" ht="14.25" customHeight="1">
      <c r="B864" s="136"/>
    </row>
    <row r="865" ht="14.25" customHeight="1">
      <c r="B865" s="136"/>
    </row>
    <row r="866" ht="14.25" customHeight="1">
      <c r="B866" s="136"/>
    </row>
    <row r="867" ht="14.25" customHeight="1">
      <c r="B867" s="136"/>
    </row>
    <row r="868" ht="14.25" customHeight="1">
      <c r="B868" s="136"/>
    </row>
    <row r="869" ht="14.25" customHeight="1">
      <c r="B869" s="136"/>
    </row>
    <row r="870" ht="14.25" customHeight="1">
      <c r="B870" s="136"/>
    </row>
    <row r="871" ht="14.25" customHeight="1">
      <c r="B871" s="136"/>
    </row>
    <row r="872" ht="14.25" customHeight="1">
      <c r="B872" s="136"/>
    </row>
    <row r="873" ht="14.25" customHeight="1">
      <c r="B873" s="136"/>
    </row>
    <row r="874" ht="14.25" customHeight="1">
      <c r="B874" s="136"/>
    </row>
    <row r="875" ht="14.25" customHeight="1">
      <c r="B875" s="136"/>
    </row>
    <row r="876" ht="14.25" customHeight="1">
      <c r="B876" s="136"/>
    </row>
    <row r="877" ht="14.25" customHeight="1">
      <c r="B877" s="136"/>
    </row>
    <row r="878" ht="14.25" customHeight="1">
      <c r="B878" s="136"/>
    </row>
    <row r="879" ht="14.25" customHeight="1">
      <c r="B879" s="136"/>
    </row>
    <row r="880" ht="14.25" customHeight="1">
      <c r="B880" s="136"/>
    </row>
    <row r="881" ht="14.25" customHeight="1">
      <c r="B881" s="136"/>
    </row>
    <row r="882" ht="14.25" customHeight="1">
      <c r="B882" s="136"/>
    </row>
    <row r="883" ht="14.25" customHeight="1">
      <c r="B883" s="136"/>
    </row>
    <row r="884" ht="14.25" customHeight="1">
      <c r="B884" s="136"/>
    </row>
    <row r="885" ht="14.25" customHeight="1">
      <c r="B885" s="136"/>
    </row>
    <row r="886" ht="14.25" customHeight="1">
      <c r="B886" s="136"/>
    </row>
    <row r="887" ht="14.25" customHeight="1">
      <c r="B887" s="136"/>
    </row>
    <row r="888" ht="14.25" customHeight="1">
      <c r="B888" s="136"/>
    </row>
    <row r="889" ht="14.25" customHeight="1">
      <c r="B889" s="136"/>
    </row>
    <row r="890" ht="14.25" customHeight="1">
      <c r="B890" s="136"/>
    </row>
    <row r="891" ht="14.25" customHeight="1">
      <c r="B891" s="136"/>
    </row>
    <row r="892" ht="14.25" customHeight="1">
      <c r="B892" s="136"/>
    </row>
    <row r="893" ht="14.25" customHeight="1">
      <c r="B893" s="136"/>
    </row>
    <row r="894" ht="14.25" customHeight="1">
      <c r="B894" s="136"/>
    </row>
    <row r="895" ht="14.25" customHeight="1">
      <c r="B895" s="136"/>
    </row>
    <row r="896" ht="14.25" customHeight="1">
      <c r="B896" s="136"/>
    </row>
    <row r="897" ht="14.25" customHeight="1">
      <c r="B897" s="136"/>
    </row>
    <row r="898" ht="14.25" customHeight="1">
      <c r="B898" s="136"/>
    </row>
    <row r="899" ht="14.25" customHeight="1">
      <c r="B899" s="136"/>
    </row>
    <row r="900" ht="14.25" customHeight="1">
      <c r="B900" s="136"/>
    </row>
    <row r="901" ht="14.25" customHeight="1">
      <c r="B901" s="136"/>
    </row>
    <row r="902" ht="14.25" customHeight="1">
      <c r="B902" s="136"/>
    </row>
    <row r="903" ht="14.25" customHeight="1">
      <c r="B903" s="136"/>
    </row>
    <row r="904" ht="14.25" customHeight="1">
      <c r="B904" s="136"/>
    </row>
    <row r="905" ht="14.25" customHeight="1">
      <c r="B905" s="136"/>
    </row>
    <row r="906" ht="14.25" customHeight="1">
      <c r="B906" s="136"/>
    </row>
    <row r="907" ht="14.25" customHeight="1">
      <c r="B907" s="136"/>
    </row>
    <row r="908" ht="14.25" customHeight="1">
      <c r="B908" s="136"/>
    </row>
    <row r="909" ht="14.25" customHeight="1">
      <c r="B909" s="136"/>
    </row>
    <row r="910" ht="14.25" customHeight="1">
      <c r="B910" s="136"/>
    </row>
    <row r="911" ht="14.25" customHeight="1">
      <c r="B911" s="136"/>
    </row>
    <row r="912" ht="14.25" customHeight="1">
      <c r="B912" s="136"/>
    </row>
    <row r="913" ht="14.25" customHeight="1">
      <c r="B913" s="136"/>
    </row>
    <row r="914" ht="14.25" customHeight="1">
      <c r="B914" s="136"/>
    </row>
    <row r="915" ht="14.25" customHeight="1">
      <c r="B915" s="136"/>
    </row>
    <row r="916" ht="14.25" customHeight="1">
      <c r="B916" s="136"/>
    </row>
    <row r="917" ht="14.25" customHeight="1">
      <c r="B917" s="136"/>
    </row>
    <row r="918" ht="14.25" customHeight="1">
      <c r="B918" s="136"/>
    </row>
    <row r="919" ht="14.25" customHeight="1">
      <c r="B919" s="136"/>
    </row>
    <row r="920" ht="14.25" customHeight="1">
      <c r="B920" s="136"/>
    </row>
    <row r="921" ht="14.25" customHeight="1">
      <c r="B921" s="136"/>
    </row>
    <row r="922" ht="14.25" customHeight="1">
      <c r="B922" s="136"/>
    </row>
    <row r="923" ht="14.25" customHeight="1">
      <c r="B923" s="136"/>
    </row>
    <row r="924" ht="14.25" customHeight="1">
      <c r="B924" s="136"/>
    </row>
    <row r="925" ht="14.25" customHeight="1">
      <c r="B925" s="136"/>
    </row>
    <row r="926" ht="14.25" customHeight="1">
      <c r="B926" s="136"/>
    </row>
    <row r="927" ht="14.25" customHeight="1">
      <c r="B927" s="136"/>
    </row>
    <row r="928" ht="14.25" customHeight="1">
      <c r="B928" s="136"/>
    </row>
    <row r="929" ht="14.25" customHeight="1">
      <c r="B929" s="136"/>
    </row>
    <row r="930" ht="14.25" customHeight="1">
      <c r="B930" s="136"/>
    </row>
    <row r="931" ht="14.25" customHeight="1">
      <c r="B931" s="136"/>
    </row>
    <row r="932" ht="14.25" customHeight="1">
      <c r="B932" s="136"/>
    </row>
    <row r="933" ht="14.25" customHeight="1">
      <c r="B933" s="136"/>
    </row>
    <row r="934" ht="14.25" customHeight="1">
      <c r="B934" s="136"/>
    </row>
    <row r="935" ht="14.25" customHeight="1">
      <c r="B935" s="136"/>
    </row>
    <row r="936" ht="14.25" customHeight="1">
      <c r="B936" s="136"/>
    </row>
    <row r="937" ht="14.25" customHeight="1">
      <c r="B937" s="136"/>
    </row>
    <row r="938" ht="14.25" customHeight="1">
      <c r="B938" s="136"/>
    </row>
    <row r="939" ht="14.25" customHeight="1">
      <c r="B939" s="136"/>
    </row>
    <row r="940" ht="14.25" customHeight="1">
      <c r="B940" s="136"/>
    </row>
    <row r="941" ht="14.25" customHeight="1">
      <c r="B941" s="136"/>
    </row>
    <row r="942" ht="14.25" customHeight="1">
      <c r="B942" s="136"/>
    </row>
    <row r="943" ht="14.25" customHeight="1">
      <c r="B943" s="136"/>
    </row>
    <row r="944" ht="14.25" customHeight="1">
      <c r="B944" s="136"/>
    </row>
    <row r="945" ht="14.25" customHeight="1">
      <c r="B945" s="136"/>
    </row>
    <row r="946" ht="14.25" customHeight="1">
      <c r="B946" s="136"/>
    </row>
    <row r="947" ht="14.25" customHeight="1">
      <c r="B947" s="136"/>
    </row>
    <row r="948" ht="14.25" customHeight="1">
      <c r="B948" s="136"/>
    </row>
    <row r="949" ht="14.25" customHeight="1">
      <c r="B949" s="136"/>
    </row>
    <row r="950" ht="14.25" customHeight="1">
      <c r="B950" s="136"/>
    </row>
    <row r="951" ht="14.25" customHeight="1">
      <c r="B951" s="136"/>
    </row>
    <row r="952" ht="14.25" customHeight="1">
      <c r="B952" s="136"/>
    </row>
    <row r="953" ht="14.25" customHeight="1">
      <c r="B953" s="136"/>
    </row>
    <row r="954" ht="14.25" customHeight="1">
      <c r="B954" s="136"/>
    </row>
    <row r="955" ht="14.25" customHeight="1">
      <c r="B955" s="136"/>
    </row>
    <row r="956" ht="14.25" customHeight="1">
      <c r="B956" s="136"/>
    </row>
    <row r="957" ht="14.25" customHeight="1">
      <c r="B957" s="136"/>
    </row>
    <row r="958" ht="14.25" customHeight="1">
      <c r="B958" s="136"/>
    </row>
    <row r="959" ht="14.25" customHeight="1">
      <c r="B959" s="136"/>
    </row>
    <row r="960" ht="14.25" customHeight="1">
      <c r="B960" s="136"/>
    </row>
    <row r="961" ht="14.25" customHeight="1">
      <c r="B961" s="136"/>
    </row>
    <row r="962" ht="14.25" customHeight="1">
      <c r="B962" s="136"/>
    </row>
    <row r="963" ht="14.25" customHeight="1">
      <c r="B963" s="136"/>
    </row>
    <row r="964" ht="14.25" customHeight="1">
      <c r="B964" s="136"/>
    </row>
    <row r="965" ht="14.25" customHeight="1">
      <c r="B965" s="136"/>
    </row>
    <row r="966" ht="14.25" customHeight="1">
      <c r="B966" s="136"/>
    </row>
    <row r="967" ht="14.25" customHeight="1">
      <c r="B967" s="136"/>
    </row>
    <row r="968" ht="14.25" customHeight="1">
      <c r="B968" s="136"/>
    </row>
    <row r="969" ht="14.25" customHeight="1">
      <c r="B969" s="136"/>
    </row>
    <row r="970" ht="14.25" customHeight="1">
      <c r="B970" s="136"/>
    </row>
    <row r="971" ht="14.25" customHeight="1">
      <c r="B971" s="136"/>
    </row>
    <row r="972" ht="14.25" customHeight="1">
      <c r="B972" s="136"/>
    </row>
    <row r="973" ht="14.25" customHeight="1">
      <c r="B973" s="136"/>
    </row>
    <row r="974" ht="14.25" customHeight="1">
      <c r="B974" s="136"/>
    </row>
    <row r="975" ht="14.25" customHeight="1">
      <c r="B975" s="136"/>
    </row>
    <row r="976" ht="14.25" customHeight="1">
      <c r="B976" s="136"/>
    </row>
    <row r="977" ht="14.25" customHeight="1">
      <c r="B977" s="136"/>
    </row>
    <row r="978" ht="14.25" customHeight="1">
      <c r="B978" s="136"/>
    </row>
    <row r="979" ht="14.25" customHeight="1">
      <c r="B979" s="136"/>
    </row>
    <row r="980" ht="14.25" customHeight="1">
      <c r="B980" s="136"/>
    </row>
    <row r="981" ht="14.25" customHeight="1">
      <c r="B981" s="136"/>
    </row>
    <row r="982" ht="14.25" customHeight="1">
      <c r="B982" s="136"/>
    </row>
    <row r="983" ht="14.25" customHeight="1">
      <c r="B983" s="136"/>
    </row>
    <row r="984" ht="14.25" customHeight="1">
      <c r="B984" s="136"/>
    </row>
    <row r="985" ht="14.25" customHeight="1">
      <c r="B985" s="136"/>
    </row>
    <row r="986" ht="14.25" customHeight="1">
      <c r="B986" s="136"/>
    </row>
    <row r="987" ht="14.25" customHeight="1">
      <c r="B987" s="136"/>
    </row>
    <row r="988" ht="14.25" customHeight="1">
      <c r="B988" s="136"/>
    </row>
    <row r="989" ht="14.25" customHeight="1">
      <c r="B989" s="136"/>
    </row>
    <row r="990" ht="14.25" customHeight="1">
      <c r="B990" s="136"/>
    </row>
    <row r="991" ht="14.25" customHeight="1">
      <c r="B991" s="136"/>
    </row>
    <row r="992" ht="14.25" customHeight="1">
      <c r="B992" s="136"/>
    </row>
    <row r="993" ht="14.25" customHeight="1">
      <c r="B993" s="136"/>
    </row>
    <row r="994" ht="14.25" customHeight="1">
      <c r="B994" s="136"/>
    </row>
    <row r="995" ht="14.25" customHeight="1">
      <c r="B995" s="136"/>
    </row>
    <row r="996" ht="14.25" customHeight="1">
      <c r="B996" s="136"/>
    </row>
    <row r="997" ht="14.25" customHeight="1">
      <c r="B997" s="136"/>
    </row>
    <row r="998" ht="14.25" customHeight="1">
      <c r="B998" s="136"/>
    </row>
    <row r="999" ht="14.25" customHeight="1">
      <c r="B999" s="136"/>
    </row>
    <row r="1000" ht="14.25" customHeight="1">
      <c r="B1000" s="136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2023-11-16T10:01:09Z</dcterms:created>
  <dc:creator>admin</dc:creator>
</cp:coreProperties>
</file>