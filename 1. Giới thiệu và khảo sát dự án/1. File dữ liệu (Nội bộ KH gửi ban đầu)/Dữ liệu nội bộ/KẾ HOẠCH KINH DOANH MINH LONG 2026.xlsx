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ông việc\1. Dự án Gỗ Minh Long\1. Giới thiệu và khảo sát dự án\1. File dữ liệu (Nội bộ KH gửi ban đầu)\Dữ liệu nội bộ\"/>
    </mc:Choice>
  </mc:AlternateContent>
  <xr:revisionPtr revIDLastSave="0" documentId="13_ncr:1_{14CD5133-5924-46C0-8A5C-C8F6234DB4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&amp;L" sheetId="1" r:id="rId1"/>
    <sheet name="P&amp;L rev" sheetId="2" state="hidden" r:id="rId2"/>
    <sheet name="KQKD_pa1" sheetId="3" r:id="rId3"/>
    <sheet name="CĐKT_pa1" sheetId="4" r:id="rId4"/>
    <sheet name="LCTT_pa1" sheetId="5" r:id="rId5"/>
    <sheet name="Sheet2" sheetId="6" r:id="rId6"/>
    <sheet name="Target_Vong_Quay" sheetId="7" r:id="rId7"/>
    <sheet name="NHU CẦU VLĐ" sheetId="8" state="hidden" r:id="rId8"/>
  </sheets>
  <definedNames>
    <definedName name="_xlnm._FilterDatabase" localSheetId="0" hidden="1">'P&amp;L'!$A$1:$Q$39</definedName>
  </definedNames>
  <calcPr calcId="191029"/>
  <extLst>
    <ext uri="GoogleSheetsCustomDataVersion2">
      <go:sheetsCustomData xmlns:go="http://customooxmlschemas.google.com/" r:id="rId13" roundtripDataChecksum="gHUL86jyQnLD2bIJurLxaKV4QsDMUa0v9Paj0nnkTOw="/>
    </ext>
  </extLst>
</workbook>
</file>

<file path=xl/calcChain.xml><?xml version="1.0" encoding="utf-8"?>
<calcChain xmlns="http://schemas.openxmlformats.org/spreadsheetml/2006/main">
  <c r="B28" i="6" l="1"/>
  <c r="B27" i="6"/>
  <c r="B26" i="6"/>
  <c r="B25" i="6"/>
  <c r="O48" i="5"/>
  <c r="N48" i="5"/>
  <c r="M48" i="5"/>
  <c r="L48" i="5"/>
  <c r="K48" i="5"/>
  <c r="J48" i="5"/>
  <c r="I48" i="5"/>
  <c r="H48" i="5"/>
  <c r="G48" i="5"/>
  <c r="F48" i="5"/>
  <c r="E48" i="5"/>
  <c r="D48" i="5"/>
  <c r="B34" i="5"/>
  <c r="B33" i="5"/>
  <c r="B32" i="5"/>
  <c r="B31" i="5"/>
  <c r="J19" i="5"/>
  <c r="K92" i="4"/>
  <c r="P84" i="4"/>
  <c r="O84" i="4"/>
  <c r="N84" i="4"/>
  <c r="M84" i="4"/>
  <c r="L84" i="4"/>
  <c r="K84" i="4"/>
  <c r="J84" i="4"/>
  <c r="I84" i="4"/>
  <c r="H84" i="4"/>
  <c r="G84" i="4"/>
  <c r="F84" i="4"/>
  <c r="E84" i="4"/>
  <c r="P83" i="4"/>
  <c r="O83" i="4"/>
  <c r="N83" i="4"/>
  <c r="M83" i="4"/>
  <c r="L83" i="4"/>
  <c r="K83" i="4"/>
  <c r="J83" i="4"/>
  <c r="I83" i="4"/>
  <c r="H83" i="4"/>
  <c r="G83" i="4"/>
  <c r="F83" i="4"/>
  <c r="E83" i="4"/>
  <c r="P82" i="4"/>
  <c r="O82" i="4"/>
  <c r="N82" i="4"/>
  <c r="M82" i="4"/>
  <c r="L82" i="4"/>
  <c r="K82" i="4"/>
  <c r="J82" i="4"/>
  <c r="I82" i="4"/>
  <c r="H82" i="4"/>
  <c r="G82" i="4"/>
  <c r="F82" i="4"/>
  <c r="E82" i="4"/>
  <c r="P81" i="4"/>
  <c r="O81" i="4"/>
  <c r="N81" i="4"/>
  <c r="M81" i="4"/>
  <c r="L81" i="4"/>
  <c r="K81" i="4"/>
  <c r="J81" i="4"/>
  <c r="I81" i="4"/>
  <c r="H81" i="4"/>
  <c r="G81" i="4"/>
  <c r="F81" i="4"/>
  <c r="E81" i="4"/>
  <c r="P80" i="4"/>
  <c r="O80" i="4"/>
  <c r="N80" i="4"/>
  <c r="M80" i="4"/>
  <c r="L80" i="4"/>
  <c r="K80" i="4"/>
  <c r="J80" i="4"/>
  <c r="I80" i="4"/>
  <c r="H80" i="4"/>
  <c r="G80" i="4"/>
  <c r="F80" i="4"/>
  <c r="E80" i="4"/>
  <c r="P79" i="4"/>
  <c r="O79" i="4"/>
  <c r="N79" i="4"/>
  <c r="M79" i="4"/>
  <c r="L79" i="4"/>
  <c r="K79" i="4"/>
  <c r="J79" i="4"/>
  <c r="I79" i="4"/>
  <c r="H79" i="4"/>
  <c r="G79" i="4"/>
  <c r="F79" i="4"/>
  <c r="E79" i="4"/>
  <c r="P78" i="4"/>
  <c r="O78" i="4"/>
  <c r="N78" i="4"/>
  <c r="M78" i="4"/>
  <c r="L78" i="4"/>
  <c r="K78" i="4"/>
  <c r="J78" i="4"/>
  <c r="I78" i="4"/>
  <c r="H78" i="4"/>
  <c r="G78" i="4"/>
  <c r="F78" i="4"/>
  <c r="E78" i="4"/>
  <c r="P77" i="4"/>
  <c r="O77" i="4"/>
  <c r="N77" i="4"/>
  <c r="M77" i="4"/>
  <c r="L77" i="4"/>
  <c r="K77" i="4"/>
  <c r="J77" i="4"/>
  <c r="I77" i="4"/>
  <c r="H77" i="4"/>
  <c r="G77" i="4"/>
  <c r="F77" i="4"/>
  <c r="E77" i="4"/>
  <c r="P76" i="4"/>
  <c r="O76" i="4"/>
  <c r="N76" i="4"/>
  <c r="M76" i="4"/>
  <c r="L76" i="4"/>
  <c r="K76" i="4"/>
  <c r="J76" i="4"/>
  <c r="I76" i="4"/>
  <c r="H76" i="4"/>
  <c r="G76" i="4"/>
  <c r="F76" i="4"/>
  <c r="E76" i="4"/>
  <c r="P75" i="4"/>
  <c r="O75" i="4"/>
  <c r="N75" i="4"/>
  <c r="M75" i="4"/>
  <c r="L75" i="4"/>
  <c r="K75" i="4"/>
  <c r="J75" i="4"/>
  <c r="I75" i="4"/>
  <c r="H75" i="4"/>
  <c r="G75" i="4"/>
  <c r="F75" i="4"/>
  <c r="E75" i="4"/>
  <c r="P74" i="4"/>
  <c r="O74" i="4"/>
  <c r="N74" i="4"/>
  <c r="M74" i="4"/>
  <c r="L74" i="4"/>
  <c r="K74" i="4"/>
  <c r="J74" i="4"/>
  <c r="I74" i="4"/>
  <c r="H74" i="4"/>
  <c r="G74" i="4"/>
  <c r="F74" i="4"/>
  <c r="E74" i="4"/>
  <c r="P73" i="4"/>
  <c r="O73" i="4"/>
  <c r="N73" i="4"/>
  <c r="M73" i="4"/>
  <c r="L73" i="4"/>
  <c r="K73" i="4"/>
  <c r="J73" i="4"/>
  <c r="I73" i="4"/>
  <c r="H73" i="4"/>
  <c r="G73" i="4"/>
  <c r="F73" i="4"/>
  <c r="E73" i="4"/>
  <c r="P72" i="4"/>
  <c r="O72" i="4"/>
  <c r="N72" i="4"/>
  <c r="M72" i="4"/>
  <c r="L72" i="4"/>
  <c r="K72" i="4"/>
  <c r="J72" i="4"/>
  <c r="I72" i="4"/>
  <c r="H72" i="4"/>
  <c r="G72" i="4"/>
  <c r="F72" i="4"/>
  <c r="E72" i="4"/>
  <c r="P71" i="4"/>
  <c r="O71" i="4"/>
  <c r="N71" i="4"/>
  <c r="M71" i="4"/>
  <c r="L71" i="4"/>
  <c r="K71" i="4"/>
  <c r="J71" i="4"/>
  <c r="I71" i="4"/>
  <c r="I69" i="4" s="1"/>
  <c r="H71" i="4"/>
  <c r="G71" i="4"/>
  <c r="F71" i="4"/>
  <c r="E71" i="4"/>
  <c r="P70" i="4"/>
  <c r="P69" i="4" s="1"/>
  <c r="O70" i="4"/>
  <c r="N70" i="4"/>
  <c r="N69" i="4" s="1"/>
  <c r="M70" i="4"/>
  <c r="M69" i="4" s="1"/>
  <c r="L70" i="4"/>
  <c r="L69" i="4" s="1"/>
  <c r="K70" i="4"/>
  <c r="K69" i="4" s="1"/>
  <c r="J70" i="4"/>
  <c r="I70" i="4"/>
  <c r="H70" i="4"/>
  <c r="H69" i="4" s="1"/>
  <c r="G70" i="4"/>
  <c r="F70" i="4"/>
  <c r="F69" i="4" s="1"/>
  <c r="E70" i="4"/>
  <c r="E69" i="4" s="1"/>
  <c r="O69" i="4"/>
  <c r="J69" i="4"/>
  <c r="G69" i="4"/>
  <c r="P21" i="4"/>
  <c r="O21" i="4"/>
  <c r="O20" i="4" s="1"/>
  <c r="N21" i="4"/>
  <c r="N20" i="4" s="1"/>
  <c r="M21" i="4"/>
  <c r="M20" i="4" s="1"/>
  <c r="L21" i="4"/>
  <c r="L20" i="4" s="1"/>
  <c r="K21" i="4"/>
  <c r="J21" i="4"/>
  <c r="I21" i="4"/>
  <c r="H21" i="4"/>
  <c r="H20" i="4" s="1"/>
  <c r="G21" i="4"/>
  <c r="F21" i="4"/>
  <c r="F20" i="4" s="1"/>
  <c r="E21" i="4"/>
  <c r="E20" i="4" s="1"/>
  <c r="P20" i="4"/>
  <c r="K20" i="4"/>
  <c r="J20" i="4"/>
  <c r="I20" i="4"/>
  <c r="G20" i="4"/>
  <c r="P17" i="4"/>
  <c r="O17" i="4"/>
  <c r="N17" i="4"/>
  <c r="M17" i="4"/>
  <c r="L17" i="4"/>
  <c r="K17" i="4"/>
  <c r="J17" i="4"/>
  <c r="I17" i="4"/>
  <c r="H17" i="4"/>
  <c r="G17" i="4"/>
  <c r="F17" i="4"/>
  <c r="E17" i="4"/>
  <c r="P13" i="4"/>
  <c r="O13" i="4"/>
  <c r="N13" i="4"/>
  <c r="M13" i="4"/>
  <c r="L13" i="4"/>
  <c r="K13" i="4"/>
  <c r="J13" i="4"/>
  <c r="I13" i="4"/>
  <c r="I11" i="4" s="1"/>
  <c r="H13" i="4"/>
  <c r="G13" i="4"/>
  <c r="F13" i="4"/>
  <c r="E13" i="4"/>
  <c r="P12" i="4"/>
  <c r="P11" i="4" s="1"/>
  <c r="O12" i="4"/>
  <c r="N12" i="4"/>
  <c r="N11" i="4" s="1"/>
  <c r="M12" i="4"/>
  <c r="M11" i="4" s="1"/>
  <c r="L12" i="4"/>
  <c r="L11" i="4" s="1"/>
  <c r="K12" i="4"/>
  <c r="J12" i="4"/>
  <c r="I12" i="4"/>
  <c r="H12" i="4"/>
  <c r="H11" i="4" s="1"/>
  <c r="G12" i="4"/>
  <c r="F12" i="4"/>
  <c r="F11" i="4" s="1"/>
  <c r="E12" i="4"/>
  <c r="E11" i="4" s="1"/>
  <c r="O11" i="4"/>
  <c r="K11" i="4"/>
  <c r="J11" i="4"/>
  <c r="G11" i="4"/>
  <c r="D63" i="3"/>
  <c r="P59" i="3"/>
  <c r="O59" i="3"/>
  <c r="N59" i="3"/>
  <c r="M59" i="3"/>
  <c r="L59" i="3"/>
  <c r="K59" i="3"/>
  <c r="J59" i="3"/>
  <c r="I59" i="3"/>
  <c r="H59" i="3"/>
  <c r="G59" i="3"/>
  <c r="F59" i="3"/>
  <c r="E59" i="3"/>
  <c r="P58" i="3"/>
  <c r="O58" i="3"/>
  <c r="N58" i="3"/>
  <c r="M58" i="3"/>
  <c r="L58" i="3"/>
  <c r="K58" i="3"/>
  <c r="J58" i="3"/>
  <c r="I58" i="3"/>
  <c r="H58" i="3"/>
  <c r="G58" i="3"/>
  <c r="F58" i="3"/>
  <c r="E58" i="3"/>
  <c r="P57" i="3"/>
  <c r="O57" i="3"/>
  <c r="N57" i="3"/>
  <c r="M57" i="3"/>
  <c r="L57" i="3"/>
  <c r="K57" i="3"/>
  <c r="J57" i="3"/>
  <c r="I57" i="3"/>
  <c r="H57" i="3"/>
  <c r="G57" i="3"/>
  <c r="F57" i="3"/>
  <c r="E57" i="3"/>
  <c r="P56" i="3"/>
  <c r="O56" i="3"/>
  <c r="N56" i="3"/>
  <c r="M56" i="3"/>
  <c r="L56" i="3"/>
  <c r="K56" i="3"/>
  <c r="J56" i="3"/>
  <c r="I56" i="3"/>
  <c r="H56" i="3"/>
  <c r="G56" i="3"/>
  <c r="F56" i="3"/>
  <c r="E56" i="3"/>
  <c r="P55" i="3"/>
  <c r="O55" i="3"/>
  <c r="N55" i="3"/>
  <c r="M55" i="3"/>
  <c r="L55" i="3"/>
  <c r="K55" i="3"/>
  <c r="J55" i="3"/>
  <c r="I55" i="3"/>
  <c r="H55" i="3"/>
  <c r="G55" i="3"/>
  <c r="F55" i="3"/>
  <c r="E55" i="3"/>
  <c r="F53" i="3"/>
  <c r="F60" i="3" s="1"/>
  <c r="Q49" i="3"/>
  <c r="Q48" i="3"/>
  <c r="Q43" i="3"/>
  <c r="Q42" i="3"/>
  <c r="P40" i="3"/>
  <c r="O40" i="3"/>
  <c r="N40" i="3"/>
  <c r="M40" i="3"/>
  <c r="L40" i="3"/>
  <c r="K40" i="3"/>
  <c r="J40" i="3"/>
  <c r="I40" i="3"/>
  <c r="H40" i="3"/>
  <c r="G40" i="3"/>
  <c r="F40" i="3"/>
  <c r="E40" i="3"/>
  <c r="P33" i="3"/>
  <c r="O33" i="3"/>
  <c r="N33" i="3"/>
  <c r="M33" i="3"/>
  <c r="L33" i="3"/>
  <c r="K33" i="3"/>
  <c r="K6" i="3" s="1"/>
  <c r="K53" i="3" s="1"/>
  <c r="K60" i="3" s="1"/>
  <c r="J33" i="3"/>
  <c r="I33" i="3"/>
  <c r="H33" i="3"/>
  <c r="G33" i="3"/>
  <c r="F33" i="3"/>
  <c r="E33" i="3"/>
  <c r="P31" i="3"/>
  <c r="O31" i="3"/>
  <c r="N31" i="3"/>
  <c r="M31" i="3"/>
  <c r="L31" i="3"/>
  <c r="K31" i="3"/>
  <c r="J31" i="3"/>
  <c r="I31" i="3"/>
  <c r="H31" i="3"/>
  <c r="G31" i="3"/>
  <c r="F31" i="3"/>
  <c r="E31" i="3"/>
  <c r="P30" i="3"/>
  <c r="O30" i="3"/>
  <c r="N30" i="3"/>
  <c r="M30" i="3"/>
  <c r="L30" i="3"/>
  <c r="K30" i="3"/>
  <c r="J30" i="3"/>
  <c r="I30" i="3"/>
  <c r="H30" i="3"/>
  <c r="G30" i="3"/>
  <c r="F30" i="3"/>
  <c r="E30" i="3"/>
  <c r="D29" i="3"/>
  <c r="M29" i="3" s="1"/>
  <c r="P28" i="3"/>
  <c r="O28" i="3"/>
  <c r="N28" i="3"/>
  <c r="M28" i="3"/>
  <c r="L28" i="3"/>
  <c r="K28" i="3"/>
  <c r="J28" i="3"/>
  <c r="I28" i="3"/>
  <c r="I6" i="3" s="1"/>
  <c r="I53" i="3" s="1"/>
  <c r="I60" i="3" s="1"/>
  <c r="H28" i="3"/>
  <c r="G28" i="3"/>
  <c r="F28" i="3"/>
  <c r="E28" i="3"/>
  <c r="M27" i="3"/>
  <c r="G27" i="3"/>
  <c r="D27" i="3"/>
  <c r="L27" i="3" s="1"/>
  <c r="P26" i="3"/>
  <c r="O26" i="3"/>
  <c r="N26" i="3"/>
  <c r="M26" i="3"/>
  <c r="L26" i="3"/>
  <c r="K26" i="3"/>
  <c r="J26" i="3"/>
  <c r="I26" i="3"/>
  <c r="H26" i="3"/>
  <c r="G26" i="3"/>
  <c r="F26" i="3"/>
  <c r="E26" i="3"/>
  <c r="P25" i="3"/>
  <c r="O25" i="3"/>
  <c r="N25" i="3"/>
  <c r="M25" i="3"/>
  <c r="L25" i="3"/>
  <c r="K25" i="3"/>
  <c r="J25" i="3"/>
  <c r="I25" i="3"/>
  <c r="H25" i="3"/>
  <c r="G25" i="3"/>
  <c r="F25" i="3"/>
  <c r="E25" i="3"/>
  <c r="P24" i="3"/>
  <c r="O24" i="3"/>
  <c r="N24" i="3"/>
  <c r="M24" i="3"/>
  <c r="L24" i="3"/>
  <c r="K24" i="3"/>
  <c r="J24" i="3"/>
  <c r="I24" i="3"/>
  <c r="H24" i="3"/>
  <c r="G24" i="3"/>
  <c r="F24" i="3"/>
  <c r="E24" i="3"/>
  <c r="P23" i="3"/>
  <c r="O23" i="3"/>
  <c r="N23" i="3"/>
  <c r="M23" i="3"/>
  <c r="L23" i="3"/>
  <c r="K23" i="3"/>
  <c r="J23" i="3"/>
  <c r="I23" i="3"/>
  <c r="H23" i="3"/>
  <c r="G23" i="3"/>
  <c r="F23" i="3"/>
  <c r="E23" i="3"/>
  <c r="P22" i="3"/>
  <c r="O22" i="3"/>
  <c r="N22" i="3"/>
  <c r="M22" i="3"/>
  <c r="L22" i="3"/>
  <c r="K22" i="3"/>
  <c r="J22" i="3"/>
  <c r="I22" i="3"/>
  <c r="H22" i="3"/>
  <c r="G22" i="3"/>
  <c r="F22" i="3"/>
  <c r="E22" i="3"/>
  <c r="P21" i="3"/>
  <c r="O21" i="3"/>
  <c r="N21" i="3"/>
  <c r="M21" i="3"/>
  <c r="L21" i="3"/>
  <c r="K21" i="3"/>
  <c r="J21" i="3"/>
  <c r="I21" i="3"/>
  <c r="H21" i="3"/>
  <c r="G21" i="3"/>
  <c r="F21" i="3"/>
  <c r="E21" i="3"/>
  <c r="P20" i="3"/>
  <c r="O20" i="3"/>
  <c r="N20" i="3"/>
  <c r="M20" i="3"/>
  <c r="L20" i="3"/>
  <c r="K20" i="3"/>
  <c r="J20" i="3"/>
  <c r="I20" i="3"/>
  <c r="H20" i="3"/>
  <c r="G20" i="3"/>
  <c r="F20" i="3"/>
  <c r="E20" i="3"/>
  <c r="P19" i="3"/>
  <c r="O19" i="3"/>
  <c r="N19" i="3"/>
  <c r="M19" i="3"/>
  <c r="L19" i="3"/>
  <c r="K19" i="3"/>
  <c r="J19" i="3"/>
  <c r="I19" i="3"/>
  <c r="H19" i="3"/>
  <c r="G19" i="3"/>
  <c r="F19" i="3"/>
  <c r="E19" i="3"/>
  <c r="P18" i="3"/>
  <c r="O18" i="3"/>
  <c r="N18" i="3"/>
  <c r="M18" i="3"/>
  <c r="L18" i="3"/>
  <c r="K18" i="3"/>
  <c r="J18" i="3"/>
  <c r="I18" i="3"/>
  <c r="H18" i="3"/>
  <c r="G18" i="3"/>
  <c r="F18" i="3"/>
  <c r="E18" i="3"/>
  <c r="P17" i="3"/>
  <c r="O17" i="3"/>
  <c r="N17" i="3"/>
  <c r="M17" i="3"/>
  <c r="L17" i="3"/>
  <c r="K17" i="3"/>
  <c r="J17" i="3"/>
  <c r="I17" i="3"/>
  <c r="H17" i="3"/>
  <c r="G17" i="3"/>
  <c r="F17" i="3"/>
  <c r="E17" i="3"/>
  <c r="P16" i="3"/>
  <c r="O16" i="3"/>
  <c r="N16" i="3"/>
  <c r="M16" i="3"/>
  <c r="L16" i="3"/>
  <c r="K16" i="3"/>
  <c r="J16" i="3"/>
  <c r="I16" i="3"/>
  <c r="H16" i="3"/>
  <c r="G16" i="3"/>
  <c r="F16" i="3"/>
  <c r="E16" i="3"/>
  <c r="P15" i="3"/>
  <c r="O15" i="3"/>
  <c r="N15" i="3"/>
  <c r="M15" i="3"/>
  <c r="L15" i="3"/>
  <c r="K15" i="3"/>
  <c r="J15" i="3"/>
  <c r="I15" i="3"/>
  <c r="H15" i="3"/>
  <c r="G15" i="3"/>
  <c r="F15" i="3"/>
  <c r="E15" i="3"/>
  <c r="P14" i="3"/>
  <c r="O14" i="3"/>
  <c r="N14" i="3"/>
  <c r="M14" i="3"/>
  <c r="L14" i="3"/>
  <c r="K14" i="3"/>
  <c r="J14" i="3"/>
  <c r="I14" i="3"/>
  <c r="H14" i="3"/>
  <c r="G14" i="3"/>
  <c r="F14" i="3"/>
  <c r="E14" i="3"/>
  <c r="P13" i="3"/>
  <c r="O13" i="3"/>
  <c r="N13" i="3"/>
  <c r="M13" i="3"/>
  <c r="L13" i="3"/>
  <c r="K13" i="3"/>
  <c r="J13" i="3"/>
  <c r="I13" i="3"/>
  <c r="H13" i="3"/>
  <c r="G13" i="3"/>
  <c r="F13" i="3"/>
  <c r="E13" i="3"/>
  <c r="P12" i="3"/>
  <c r="O12" i="3"/>
  <c r="N12" i="3"/>
  <c r="M12" i="3"/>
  <c r="L12" i="3"/>
  <c r="K12" i="3"/>
  <c r="J12" i="3"/>
  <c r="I12" i="3"/>
  <c r="H12" i="3"/>
  <c r="G12" i="3"/>
  <c r="F12" i="3"/>
  <c r="E12" i="3"/>
  <c r="P11" i="3"/>
  <c r="O11" i="3"/>
  <c r="N11" i="3"/>
  <c r="M11" i="3"/>
  <c r="L11" i="3"/>
  <c r="K11" i="3"/>
  <c r="J11" i="3"/>
  <c r="I11" i="3"/>
  <c r="H11" i="3"/>
  <c r="G11" i="3"/>
  <c r="F11" i="3"/>
  <c r="E11" i="3"/>
  <c r="P10" i="3"/>
  <c r="O10" i="3"/>
  <c r="N10" i="3"/>
  <c r="M10" i="3"/>
  <c r="L10" i="3"/>
  <c r="K10" i="3"/>
  <c r="J10" i="3"/>
  <c r="I10" i="3"/>
  <c r="H10" i="3"/>
  <c r="G10" i="3"/>
  <c r="F10" i="3"/>
  <c r="E10" i="3"/>
  <c r="P9" i="3"/>
  <c r="O9" i="3"/>
  <c r="N9" i="3"/>
  <c r="M9" i="3"/>
  <c r="L9" i="3"/>
  <c r="K9" i="3"/>
  <c r="J9" i="3"/>
  <c r="I9" i="3"/>
  <c r="H9" i="3"/>
  <c r="G9" i="3"/>
  <c r="F9" i="3"/>
  <c r="E9" i="3"/>
  <c r="P8" i="3"/>
  <c r="O8" i="3"/>
  <c r="N8" i="3"/>
  <c r="M8" i="3"/>
  <c r="L8" i="3"/>
  <c r="K8" i="3"/>
  <c r="J8" i="3"/>
  <c r="I8" i="3"/>
  <c r="H8" i="3"/>
  <c r="G8" i="3"/>
  <c r="F8" i="3"/>
  <c r="E8" i="3"/>
  <c r="P7" i="3"/>
  <c r="O7" i="3"/>
  <c r="N7" i="3"/>
  <c r="N6" i="3" s="1"/>
  <c r="N53" i="3" s="1"/>
  <c r="N60" i="3" s="1"/>
  <c r="M7" i="3"/>
  <c r="M6" i="3" s="1"/>
  <c r="M53" i="3" s="1"/>
  <c r="M60" i="3" s="1"/>
  <c r="L7" i="3"/>
  <c r="L6" i="3" s="1"/>
  <c r="L53" i="3" s="1"/>
  <c r="L60" i="3" s="1"/>
  <c r="K7" i="3"/>
  <c r="J7" i="3"/>
  <c r="I7" i="3"/>
  <c r="H7" i="3"/>
  <c r="H6" i="3" s="1"/>
  <c r="H53" i="3" s="1"/>
  <c r="H60" i="3" s="1"/>
  <c r="G7" i="3"/>
  <c r="F7" i="3"/>
  <c r="F6" i="3" s="1"/>
  <c r="E7" i="3"/>
  <c r="P6" i="3"/>
  <c r="P53" i="3" s="1"/>
  <c r="P60" i="3" s="1"/>
  <c r="J6" i="3"/>
  <c r="J53" i="3" s="1"/>
  <c r="J60" i="3" s="1"/>
  <c r="E6" i="3"/>
  <c r="E53" i="3" s="1"/>
  <c r="E60" i="3" s="1"/>
  <c r="D6" i="3"/>
  <c r="D53" i="3" s="1"/>
  <c r="D66" i="2"/>
  <c r="Q63" i="2"/>
  <c r="K48" i="2"/>
  <c r="D42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D35" i="2"/>
  <c r="M25" i="2"/>
  <c r="P24" i="2"/>
  <c r="L24" i="2"/>
  <c r="J24" i="2"/>
  <c r="E24" i="2"/>
  <c r="M14" i="2"/>
  <c r="N13" i="2"/>
  <c r="M13" i="2"/>
  <c r="M48" i="2" s="1"/>
  <c r="L13" i="2"/>
  <c r="L48" i="2" s="1"/>
  <c r="K13" i="2"/>
  <c r="J13" i="2"/>
  <c r="E13" i="2"/>
  <c r="L12" i="2"/>
  <c r="K12" i="2"/>
  <c r="E10" i="2"/>
  <c r="O9" i="2"/>
  <c r="N9" i="2"/>
  <c r="K9" i="2"/>
  <c r="E9" i="2"/>
  <c r="N7" i="2"/>
  <c r="M7" i="2"/>
  <c r="L7" i="2"/>
  <c r="L14" i="2" s="1"/>
  <c r="K7" i="2"/>
  <c r="K14" i="2" s="1"/>
  <c r="J7" i="2"/>
  <c r="J25" i="2" s="1"/>
  <c r="E7" i="2"/>
  <c r="E14" i="2" s="1"/>
  <c r="P6" i="2"/>
  <c r="O6" i="2"/>
  <c r="O7" i="2" s="1"/>
  <c r="O14" i="2" s="1"/>
  <c r="N6" i="2"/>
  <c r="N24" i="2" s="1"/>
  <c r="M6" i="2"/>
  <c r="M9" i="2" s="1"/>
  <c r="L6" i="2"/>
  <c r="L9" i="2" s="1"/>
  <c r="K6" i="2"/>
  <c r="K24" i="2" s="1"/>
  <c r="J6" i="2"/>
  <c r="J9" i="2" s="1"/>
  <c r="I6" i="2"/>
  <c r="F6" i="2"/>
  <c r="F7" i="2" s="1"/>
  <c r="O5" i="2"/>
  <c r="M5" i="2"/>
  <c r="L5" i="2"/>
  <c r="K5" i="2"/>
  <c r="E5" i="2"/>
  <c r="D3" i="2"/>
  <c r="D36" i="1"/>
  <c r="D32" i="1"/>
  <c r="D31" i="1"/>
  <c r="P30" i="1"/>
  <c r="O30" i="1"/>
  <c r="N30" i="1"/>
  <c r="M30" i="1"/>
  <c r="L30" i="1"/>
  <c r="K30" i="1"/>
  <c r="J30" i="1"/>
  <c r="D30" i="1" s="1"/>
  <c r="I30" i="1"/>
  <c r="H30" i="1"/>
  <c r="G30" i="1"/>
  <c r="F30" i="1"/>
  <c r="E30" i="1"/>
  <c r="D29" i="1"/>
  <c r="D26" i="1"/>
  <c r="P22" i="1"/>
  <c r="O22" i="1"/>
  <c r="N22" i="1"/>
  <c r="M22" i="1"/>
  <c r="L22" i="1"/>
  <c r="K22" i="1"/>
  <c r="J22" i="1"/>
  <c r="I22" i="1"/>
  <c r="H22" i="1"/>
  <c r="G22" i="1"/>
  <c r="F22" i="1"/>
  <c r="E22" i="1"/>
  <c r="P21" i="1"/>
  <c r="O21" i="1"/>
  <c r="N21" i="1"/>
  <c r="M21" i="1"/>
  <c r="L21" i="1"/>
  <c r="K21" i="1"/>
  <c r="J21" i="1"/>
  <c r="I21" i="1"/>
  <c r="H21" i="1"/>
  <c r="G21" i="1"/>
  <c r="F21" i="1"/>
  <c r="F20" i="1" s="1"/>
  <c r="F19" i="1" s="1"/>
  <c r="E21" i="1"/>
  <c r="E20" i="1" s="1"/>
  <c r="E19" i="1" s="1"/>
  <c r="P14" i="1"/>
  <c r="O14" i="1"/>
  <c r="N14" i="1"/>
  <c r="M14" i="1"/>
  <c r="L14" i="1"/>
  <c r="K14" i="1"/>
  <c r="J14" i="1"/>
  <c r="I14" i="1"/>
  <c r="H14" i="1"/>
  <c r="G14" i="1"/>
  <c r="F14" i="1"/>
  <c r="E14" i="1"/>
  <c r="P13" i="1"/>
  <c r="P12" i="1" s="1"/>
  <c r="P11" i="1" s="1"/>
  <c r="P47" i="1" s="1"/>
  <c r="O13" i="1"/>
  <c r="O12" i="1" s="1"/>
  <c r="O11" i="1" s="1"/>
  <c r="N13" i="1"/>
  <c r="M13" i="1"/>
  <c r="M42" i="1" s="1"/>
  <c r="L13" i="1"/>
  <c r="K13" i="1"/>
  <c r="J13" i="1"/>
  <c r="I13" i="1"/>
  <c r="H13" i="1"/>
  <c r="G13" i="1"/>
  <c r="G12" i="1" s="1"/>
  <c r="G11" i="1" s="1"/>
  <c r="F13" i="1"/>
  <c r="E13" i="1"/>
  <c r="E42" i="1" s="1"/>
  <c r="P8" i="1"/>
  <c r="O8" i="1"/>
  <c r="N8" i="1"/>
  <c r="M8" i="1"/>
  <c r="L8" i="1"/>
  <c r="K8" i="1"/>
  <c r="J8" i="1"/>
  <c r="I8" i="1"/>
  <c r="H8" i="1"/>
  <c r="G8" i="1"/>
  <c r="F8" i="1"/>
  <c r="E8" i="1"/>
  <c r="D8" i="1"/>
  <c r="Q7" i="1"/>
  <c r="P5" i="1"/>
  <c r="O5" i="1"/>
  <c r="N5" i="1"/>
  <c r="M5" i="1"/>
  <c r="L5" i="1"/>
  <c r="K5" i="1"/>
  <c r="J5" i="1"/>
  <c r="I5" i="1"/>
  <c r="H5" i="1"/>
  <c r="G5" i="1"/>
  <c r="F5" i="1"/>
  <c r="E5" i="1"/>
  <c r="D5" i="1"/>
  <c r="D3" i="1"/>
  <c r="J20" i="1" l="1"/>
  <c r="J19" i="1" s="1"/>
  <c r="K12" i="1"/>
  <c r="K11" i="1" s="1"/>
  <c r="N20" i="1"/>
  <c r="N19" i="1" s="1"/>
  <c r="G43" i="1"/>
  <c r="M20" i="1"/>
  <c r="M19" i="1" s="1"/>
  <c r="I20" i="1"/>
  <c r="I19" i="1" s="1"/>
  <c r="H12" i="1"/>
  <c r="H11" i="1" s="1"/>
  <c r="H46" i="1" s="1"/>
  <c r="L42" i="1"/>
  <c r="P42" i="1"/>
  <c r="I43" i="1"/>
  <c r="M12" i="1"/>
  <c r="M11" i="1" s="1"/>
  <c r="M47" i="1" s="1"/>
  <c r="J43" i="1"/>
  <c r="L12" i="1"/>
  <c r="L11" i="1" s="1"/>
  <c r="L46" i="1" s="1"/>
  <c r="J42" i="1"/>
  <c r="G20" i="1"/>
  <c r="G19" i="1" s="1"/>
  <c r="G27" i="1" s="1"/>
  <c r="K42" i="1"/>
  <c r="L43" i="1"/>
  <c r="O43" i="1"/>
  <c r="E43" i="1"/>
  <c r="E44" i="1" s="1"/>
  <c r="M43" i="1"/>
  <c r="M44" i="1" s="1"/>
  <c r="G42" i="1"/>
  <c r="O42" i="1"/>
  <c r="H42" i="1"/>
  <c r="D14" i="1"/>
  <c r="D17" i="1" s="1"/>
  <c r="O46" i="1"/>
  <c r="O47" i="1"/>
  <c r="N14" i="2"/>
  <c r="N5" i="2"/>
  <c r="N25" i="2"/>
  <c r="N23" i="2" s="1"/>
  <c r="D22" i="1"/>
  <c r="D25" i="1" s="1"/>
  <c r="F5" i="2"/>
  <c r="F25" i="2"/>
  <c r="F14" i="2"/>
  <c r="N48" i="2"/>
  <c r="N66" i="3"/>
  <c r="N65" i="3"/>
  <c r="K20" i="1"/>
  <c r="K19" i="1" s="1"/>
  <c r="K27" i="1" s="1"/>
  <c r="I13" i="2"/>
  <c r="I5" i="2"/>
  <c r="I24" i="2"/>
  <c r="I7" i="2"/>
  <c r="I9" i="2"/>
  <c r="P46" i="1"/>
  <c r="D13" i="1"/>
  <c r="F42" i="1"/>
  <c r="F12" i="1"/>
  <c r="F11" i="1" s="1"/>
  <c r="N12" i="1"/>
  <c r="N11" i="1" s="1"/>
  <c r="N42" i="1"/>
  <c r="E48" i="2"/>
  <c r="H65" i="3"/>
  <c r="H66" i="3" s="1"/>
  <c r="M66" i="3"/>
  <c r="M65" i="3"/>
  <c r="G47" i="1"/>
  <c r="G46" i="1"/>
  <c r="K29" i="2"/>
  <c r="D60" i="3"/>
  <c r="D66" i="3" s="1"/>
  <c r="D67" i="3" s="1"/>
  <c r="D54" i="3"/>
  <c r="J49" i="2"/>
  <c r="E65" i="3"/>
  <c r="E66" i="3"/>
  <c r="K47" i="1"/>
  <c r="K46" i="1"/>
  <c r="M29" i="2"/>
  <c r="O29" i="2"/>
  <c r="J65" i="3"/>
  <c r="J66" i="3" s="1"/>
  <c r="K65" i="3"/>
  <c r="K66" i="3" s="1"/>
  <c r="H43" i="1"/>
  <c r="D21" i="1"/>
  <c r="H20" i="1"/>
  <c r="H19" i="1" s="1"/>
  <c r="P43" i="1"/>
  <c r="P20" i="1"/>
  <c r="P19" i="1" s="1"/>
  <c r="P27" i="1" s="1"/>
  <c r="P10" i="2"/>
  <c r="H10" i="2"/>
  <c r="O10" i="2"/>
  <c r="G10" i="2"/>
  <c r="M10" i="2"/>
  <c r="E29" i="2"/>
  <c r="L10" i="2"/>
  <c r="L8" i="2" s="1"/>
  <c r="K10" i="2"/>
  <c r="J10" i="2"/>
  <c r="J29" i="2" s="1"/>
  <c r="E8" i="2"/>
  <c r="I10" i="2"/>
  <c r="F10" i="2"/>
  <c r="N10" i="2"/>
  <c r="N18" i="2" s="1"/>
  <c r="P65" i="3"/>
  <c r="P66" i="3"/>
  <c r="L65" i="3"/>
  <c r="L66" i="3" s="1"/>
  <c r="I65" i="3"/>
  <c r="I66" i="3"/>
  <c r="J12" i="1"/>
  <c r="J11" i="1" s="1"/>
  <c r="L20" i="1"/>
  <c r="L19" i="1" s="1"/>
  <c r="J5" i="2"/>
  <c r="H6" i="2"/>
  <c r="P7" i="2"/>
  <c r="P13" i="2"/>
  <c r="P5" i="2"/>
  <c r="K8" i="2"/>
  <c r="K18" i="2"/>
  <c r="K11" i="2" s="1"/>
  <c r="O24" i="2"/>
  <c r="L25" i="2"/>
  <c r="F65" i="3"/>
  <c r="F66" i="3" s="1"/>
  <c r="I29" i="3"/>
  <c r="P29" i="3"/>
  <c r="H29" i="3"/>
  <c r="K43" i="1"/>
  <c r="M8" i="2"/>
  <c r="J27" i="3"/>
  <c r="I27" i="3"/>
  <c r="N27" i="3"/>
  <c r="E29" i="3"/>
  <c r="O29" i="3"/>
  <c r="E12" i="1"/>
  <c r="E11" i="1" s="1"/>
  <c r="O20" i="1"/>
  <c r="O19" i="1" s="1"/>
  <c r="O27" i="1" s="1"/>
  <c r="N8" i="2"/>
  <c r="E25" i="2"/>
  <c r="O25" i="2"/>
  <c r="E27" i="3"/>
  <c r="O27" i="3"/>
  <c r="F29" i="3"/>
  <c r="E49" i="2"/>
  <c r="N29" i="3"/>
  <c r="I42" i="1"/>
  <c r="I44" i="1" s="1"/>
  <c r="M12" i="2"/>
  <c r="J14" i="2"/>
  <c r="J48" i="2" s="1"/>
  <c r="J50" i="2" s="1"/>
  <c r="G6" i="3"/>
  <c r="G53" i="3" s="1"/>
  <c r="G60" i="3" s="1"/>
  <c r="O6" i="3"/>
  <c r="O53" i="3" s="1"/>
  <c r="O60" i="3" s="1"/>
  <c r="F27" i="3"/>
  <c r="P27" i="3"/>
  <c r="G29" i="3"/>
  <c r="M18" i="2"/>
  <c r="N12" i="2"/>
  <c r="N11" i="2" s="1"/>
  <c r="J23" i="2"/>
  <c r="J29" i="3"/>
  <c r="F24" i="2"/>
  <c r="N49" i="2"/>
  <c r="E18" i="2"/>
  <c r="E12" i="2"/>
  <c r="E11" i="2" s="1"/>
  <c r="O13" i="2"/>
  <c r="H27" i="3"/>
  <c r="K29" i="3"/>
  <c r="I12" i="1"/>
  <c r="I11" i="1" s="1"/>
  <c r="F43" i="1"/>
  <c r="N43" i="1"/>
  <c r="G6" i="2"/>
  <c r="F9" i="2"/>
  <c r="P9" i="2"/>
  <c r="F13" i="2"/>
  <c r="K25" i="2"/>
  <c r="K23" i="2" s="1"/>
  <c r="K22" i="2" s="1"/>
  <c r="K27" i="3"/>
  <c r="L29" i="3"/>
  <c r="M24" i="2"/>
  <c r="G44" i="1" l="1"/>
  <c r="L44" i="1"/>
  <c r="L47" i="1"/>
  <c r="L27" i="1"/>
  <c r="L33" i="1" s="1"/>
  <c r="L37" i="1" s="1"/>
  <c r="L39" i="1" s="1"/>
  <c r="K44" i="1"/>
  <c r="P44" i="1"/>
  <c r="H27" i="1"/>
  <c r="H33" i="1" s="1"/>
  <c r="H37" i="1" s="1"/>
  <c r="H39" i="1" s="1"/>
  <c r="H47" i="1"/>
  <c r="O44" i="1"/>
  <c r="M27" i="1"/>
  <c r="M33" i="1" s="1"/>
  <c r="M37" i="1" s="1"/>
  <c r="M39" i="1" s="1"/>
  <c r="M46" i="1"/>
  <c r="J44" i="1"/>
  <c r="H44" i="1"/>
  <c r="K37" i="2"/>
  <c r="K53" i="2" s="1"/>
  <c r="K33" i="2"/>
  <c r="K38" i="2"/>
  <c r="K52" i="2" s="1"/>
  <c r="P33" i="1"/>
  <c r="P37" i="1" s="1"/>
  <c r="P39" i="1" s="1"/>
  <c r="P28" i="1"/>
  <c r="O33" i="1"/>
  <c r="O37" i="1" s="1"/>
  <c r="O39" i="1" s="1"/>
  <c r="O28" i="1"/>
  <c r="N46" i="1"/>
  <c r="N47" i="1"/>
  <c r="N27" i="1"/>
  <c r="D10" i="2"/>
  <c r="F46" i="1"/>
  <c r="F27" i="1"/>
  <c r="F47" i="1"/>
  <c r="I25" i="2"/>
  <c r="I14" i="2"/>
  <c r="J47" i="1"/>
  <c r="J27" i="1"/>
  <c r="J46" i="1"/>
  <c r="J22" i="2"/>
  <c r="E46" i="1"/>
  <c r="E27" i="1"/>
  <c r="E47" i="1"/>
  <c r="D24" i="1"/>
  <c r="D20" i="1"/>
  <c r="D19" i="1" s="1"/>
  <c r="E50" i="2"/>
  <c r="F44" i="1"/>
  <c r="I23" i="2"/>
  <c r="I22" i="2" s="1"/>
  <c r="I49" i="2"/>
  <c r="N50" i="2"/>
  <c r="I29" i="2"/>
  <c r="I8" i="2"/>
  <c r="I18" i="2"/>
  <c r="N38" i="2"/>
  <c r="N52" i="2" s="1"/>
  <c r="N37" i="2"/>
  <c r="N53" i="2" s="1"/>
  <c r="O67" i="3"/>
  <c r="G67" i="3"/>
  <c r="N67" i="3"/>
  <c r="F67" i="3"/>
  <c r="K67" i="3"/>
  <c r="J67" i="3"/>
  <c r="I67" i="3"/>
  <c r="H67" i="3"/>
  <c r="M67" i="3"/>
  <c r="D68" i="3"/>
  <c r="E67" i="3"/>
  <c r="P67" i="3"/>
  <c r="L67" i="3"/>
  <c r="G28" i="1"/>
  <c r="G33" i="1"/>
  <c r="G37" i="1" s="1"/>
  <c r="G39" i="1" s="1"/>
  <c r="D12" i="1"/>
  <c r="D11" i="1" s="1"/>
  <c r="D16" i="1"/>
  <c r="F29" i="2"/>
  <c r="F8" i="2"/>
  <c r="F18" i="2"/>
  <c r="G65" i="3"/>
  <c r="G66" i="3"/>
  <c r="P25" i="2"/>
  <c r="P14" i="2"/>
  <c r="P48" i="2" s="1"/>
  <c r="O8" i="2"/>
  <c r="O18" i="2"/>
  <c r="J12" i="2"/>
  <c r="J11" i="2" s="1"/>
  <c r="J18" i="2"/>
  <c r="I48" i="2"/>
  <c r="I50" i="2" s="1"/>
  <c r="I12" i="2"/>
  <c r="F49" i="2"/>
  <c r="F23" i="2"/>
  <c r="F22" i="2" s="1"/>
  <c r="K33" i="1"/>
  <c r="K37" i="1" s="1"/>
  <c r="K39" i="1" s="1"/>
  <c r="K28" i="1"/>
  <c r="F12" i="2"/>
  <c r="F11" i="2" s="1"/>
  <c r="F48" i="2"/>
  <c r="E38" i="2"/>
  <c r="E37" i="2"/>
  <c r="H7" i="2"/>
  <c r="H5" i="2" s="1"/>
  <c r="H13" i="2"/>
  <c r="H24" i="2"/>
  <c r="H9" i="2"/>
  <c r="K49" i="2"/>
  <c r="K50" i="2" s="1"/>
  <c r="J8" i="2"/>
  <c r="P29" i="2"/>
  <c r="P8" i="2"/>
  <c r="P18" i="2"/>
  <c r="O48" i="2"/>
  <c r="O12" i="2"/>
  <c r="G7" i="2"/>
  <c r="G5" i="2"/>
  <c r="G24" i="2"/>
  <c r="D24" i="2" s="1"/>
  <c r="G13" i="2"/>
  <c r="G9" i="2"/>
  <c r="D9" i="2" s="1"/>
  <c r="D8" i="2" s="1"/>
  <c r="M11" i="2"/>
  <c r="L49" i="2"/>
  <c r="L50" i="2" s="1"/>
  <c r="L23" i="2"/>
  <c r="L22" i="2" s="1"/>
  <c r="N29" i="2"/>
  <c r="N22" i="2" s="1"/>
  <c r="N33" i="2" s="1"/>
  <c r="O65" i="3"/>
  <c r="O66" i="3" s="1"/>
  <c r="M49" i="2"/>
  <c r="M50" i="2" s="1"/>
  <c r="M23" i="2"/>
  <c r="M22" i="2" s="1"/>
  <c r="I47" i="1"/>
  <c r="I27" i="1"/>
  <c r="I46" i="1"/>
  <c r="D6" i="2"/>
  <c r="L18" i="2"/>
  <c r="L11" i="2" s="1"/>
  <c r="E23" i="2"/>
  <c r="E22" i="2" s="1"/>
  <c r="E33" i="2" s="1"/>
  <c r="O23" i="2"/>
  <c r="O22" i="2" s="1"/>
  <c r="O49" i="2"/>
  <c r="L29" i="2"/>
  <c r="N44" i="1"/>
  <c r="L28" i="1" l="1"/>
  <c r="M28" i="1"/>
  <c r="H28" i="1"/>
  <c r="D27" i="2"/>
  <c r="N34" i="2"/>
  <c r="N39" i="2"/>
  <c r="N43" i="2" s="1"/>
  <c r="E34" i="2"/>
  <c r="E39" i="2"/>
  <c r="E43" i="2" s="1"/>
  <c r="J68" i="3"/>
  <c r="I68" i="3"/>
  <c r="H68" i="3"/>
  <c r="G68" i="3"/>
  <c r="P68" i="3"/>
  <c r="F68" i="3"/>
  <c r="O68" i="3"/>
  <c r="E68" i="3"/>
  <c r="N68" i="3"/>
  <c r="M68" i="3"/>
  <c r="L68" i="3"/>
  <c r="K68" i="3"/>
  <c r="F28" i="1"/>
  <c r="F33" i="1"/>
  <c r="F37" i="1" s="1"/>
  <c r="F39" i="1" s="1"/>
  <c r="L33" i="2"/>
  <c r="L38" i="2"/>
  <c r="L52" i="2" s="1"/>
  <c r="L37" i="2"/>
  <c r="L53" i="2" s="1"/>
  <c r="D13" i="2"/>
  <c r="P23" i="2"/>
  <c r="P22" i="2" s="1"/>
  <c r="P49" i="2"/>
  <c r="P50" i="2" s="1"/>
  <c r="D50" i="1"/>
  <c r="D51" i="1" s="1"/>
  <c r="D52" i="1"/>
  <c r="G25" i="2"/>
  <c r="G14" i="2"/>
  <c r="D7" i="2"/>
  <c r="Q7" i="2" s="1"/>
  <c r="I11" i="2"/>
  <c r="I33" i="1"/>
  <c r="I37" i="1" s="1"/>
  <c r="I39" i="1" s="1"/>
  <c r="I28" i="1"/>
  <c r="P12" i="2"/>
  <c r="P11" i="2" s="1"/>
  <c r="N28" i="1"/>
  <c r="N33" i="1"/>
  <c r="N37" i="1" s="1"/>
  <c r="N39" i="1" s="1"/>
  <c r="G49" i="2"/>
  <c r="G23" i="2"/>
  <c r="E53" i="2"/>
  <c r="J28" i="1"/>
  <c r="J33" i="1"/>
  <c r="J37" i="1" s="1"/>
  <c r="J39" i="1" s="1"/>
  <c r="O11" i="2"/>
  <c r="F50" i="2"/>
  <c r="M38" i="2"/>
  <c r="M52" i="2" s="1"/>
  <c r="M33" i="2"/>
  <c r="M37" i="2"/>
  <c r="M53" i="2" s="1"/>
  <c r="O50" i="2"/>
  <c r="F38" i="2"/>
  <c r="F52" i="2" s="1"/>
  <c r="F37" i="2"/>
  <c r="F53" i="2" s="1"/>
  <c r="F33" i="2"/>
  <c r="E28" i="1"/>
  <c r="E33" i="1"/>
  <c r="E37" i="1" s="1"/>
  <c r="E39" i="1" s="1"/>
  <c r="D27" i="1"/>
  <c r="D5" i="2"/>
  <c r="E52" i="2"/>
  <c r="H8" i="2"/>
  <c r="H18" i="2"/>
  <c r="H29" i="2"/>
  <c r="J37" i="2"/>
  <c r="J53" i="2" s="1"/>
  <c r="J33" i="2"/>
  <c r="J38" i="2"/>
  <c r="J52" i="2" s="1"/>
  <c r="K39" i="2"/>
  <c r="K43" i="2" s="1"/>
  <c r="K34" i="2"/>
  <c r="G8" i="2"/>
  <c r="G18" i="2"/>
  <c r="D18" i="2" s="1"/>
  <c r="G29" i="2"/>
  <c r="D29" i="2" s="1"/>
  <c r="H25" i="2"/>
  <c r="H23" i="2" s="1"/>
  <c r="H22" i="2" s="1"/>
  <c r="H14" i="2"/>
  <c r="H12" i="2" s="1"/>
  <c r="H11" i="2" s="1"/>
  <c r="H38" i="2" l="1"/>
  <c r="H52" i="2" s="1"/>
  <c r="H37" i="2"/>
  <c r="H53" i="2" s="1"/>
  <c r="H33" i="2"/>
  <c r="O38" i="2"/>
  <c r="O52" i="2" s="1"/>
  <c r="O33" i="2"/>
  <c r="O37" i="2"/>
  <c r="O53" i="2" s="1"/>
  <c r="J34" i="2"/>
  <c r="J39" i="2"/>
  <c r="J43" i="2" s="1"/>
  <c r="H48" i="2"/>
  <c r="I37" i="2"/>
  <c r="I53" i="2" s="1"/>
  <c r="I33" i="2"/>
  <c r="I38" i="2"/>
  <c r="I52" i="2" s="1"/>
  <c r="D16" i="2"/>
  <c r="N45" i="2"/>
  <c r="N63" i="2" s="1"/>
  <c r="N64" i="2"/>
  <c r="E64" i="2"/>
  <c r="E45" i="2"/>
  <c r="E63" i="2" s="1"/>
  <c r="D33" i="1"/>
  <c r="D37" i="1" s="1"/>
  <c r="D39" i="1" s="1"/>
  <c r="D28" i="1"/>
  <c r="P38" i="2"/>
  <c r="P52" i="2" s="1"/>
  <c r="P37" i="2"/>
  <c r="P53" i="2" s="1"/>
  <c r="P33" i="2"/>
  <c r="D32" i="2"/>
  <c r="M34" i="2"/>
  <c r="M39" i="2"/>
  <c r="M43" i="2" s="1"/>
  <c r="G22" i="2"/>
  <c r="F34" i="2"/>
  <c r="F39" i="2"/>
  <c r="F43" i="2" s="1"/>
  <c r="H49" i="2"/>
  <c r="D14" i="2"/>
  <c r="D17" i="2" s="1"/>
  <c r="G12" i="2"/>
  <c r="G11" i="2" s="1"/>
  <c r="K64" i="2"/>
  <c r="K45" i="2"/>
  <c r="K63" i="2" s="1"/>
  <c r="D25" i="2"/>
  <c r="L39" i="2"/>
  <c r="L43" i="2" s="1"/>
  <c r="L34" i="2"/>
  <c r="G48" i="2"/>
  <c r="G50" i="2" s="1"/>
  <c r="F45" i="2" l="1"/>
  <c r="F63" i="2" s="1"/>
  <c r="F64" i="2"/>
  <c r="H39" i="2"/>
  <c r="H43" i="2" s="1"/>
  <c r="H34" i="2"/>
  <c r="G38" i="2"/>
  <c r="G37" i="2"/>
  <c r="G33" i="2"/>
  <c r="D12" i="2"/>
  <c r="D11" i="2" s="1"/>
  <c r="O39" i="2"/>
  <c r="O43" i="2" s="1"/>
  <c r="O34" i="2"/>
  <c r="D28" i="2"/>
  <c r="D31" i="2" s="1"/>
  <c r="D23" i="2"/>
  <c r="D22" i="2" s="1"/>
  <c r="D56" i="2" s="1"/>
  <c r="D57" i="2" s="1"/>
  <c r="M64" i="2"/>
  <c r="M45" i="2"/>
  <c r="M63" i="2" s="1"/>
  <c r="J64" i="2"/>
  <c r="J45" i="2"/>
  <c r="J63" i="2" s="1"/>
  <c r="P39" i="2"/>
  <c r="P43" i="2" s="1"/>
  <c r="P34" i="2"/>
  <c r="L64" i="2"/>
  <c r="L45" i="2"/>
  <c r="L63" i="2" s="1"/>
  <c r="I39" i="2"/>
  <c r="I43" i="2" s="1"/>
  <c r="I34" i="2"/>
  <c r="H50" i="2"/>
  <c r="G34" i="2" l="1"/>
  <c r="G39" i="2"/>
  <c r="G43" i="2" s="1"/>
  <c r="D33" i="2"/>
  <c r="I45" i="2"/>
  <c r="I63" i="2" s="1"/>
  <c r="I64" i="2"/>
  <c r="G52" i="2"/>
  <c r="D38" i="2"/>
  <c r="G53" i="2"/>
  <c r="D37" i="2"/>
  <c r="H45" i="2"/>
  <c r="H63" i="2" s="1"/>
  <c r="H64" i="2"/>
  <c r="P64" i="2"/>
  <c r="P45" i="2"/>
  <c r="P63" i="2" s="1"/>
  <c r="O64" i="2"/>
  <c r="O45" i="2"/>
  <c r="O63" i="2" s="1"/>
  <c r="D39" i="2" l="1"/>
  <c r="D43" i="2" s="1"/>
  <c r="D34" i="2"/>
  <c r="G45" i="2"/>
  <c r="G63" i="2" s="1"/>
  <c r="G64" i="2"/>
  <c r="D58" i="2"/>
  <c r="D64" i="2" l="1"/>
  <c r="D45" i="2"/>
</calcChain>
</file>

<file path=xl/sharedStrings.xml><?xml version="1.0" encoding="utf-8"?>
<sst xmlns="http://schemas.openxmlformats.org/spreadsheetml/2006/main" count="605" uniqueCount="286">
  <si>
    <t>CÔNG TY CỔ PHẦN TẬP ĐOÀN GỖ MINH LONG</t>
  </si>
  <si>
    <t>Mã số</t>
  </si>
  <si>
    <t>NĂM 2026</t>
  </si>
  <si>
    <t>KẾ HOẠCH KD 2026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</si>
  <si>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</si>
  <si>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</si>
  <si>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</si>
  <si>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</si>
  <si>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</si>
  <si>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</si>
  <si>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</si>
  <si>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</si>
  <si>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</si>
  <si>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</si>
  <si>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</si>
  <si>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</si>
  <si>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TÀI SẢN</t>
  </si>
  <si>
    <t>BH tồn KT</t>
  </si>
  <si>
    <t>TT</t>
  </si>
  <si>
    <t>Khoản mục</t>
  </si>
  <si>
    <t>Đvt</t>
  </si>
  <si>
    <t>A - TÀI SẢN NGẮN HẠN (100=110+120+130+140+150)</t>
  </si>
  <si>
    <t>NĂM 2025</t>
  </si>
  <si>
    <t>I. Tiền và các khoản tương đương tiền</t>
  </si>
  <si>
    <t>A</t>
  </si>
  <si>
    <t>SL SẢN XUẤT</t>
  </si>
  <si>
    <t>Tấn</t>
  </si>
  <si>
    <t>1. Tiền</t>
  </si>
  <si>
    <t xml:space="preserve">DOANH THU </t>
  </si>
  <si>
    <t>2. Các khoản tương đương tiền</t>
  </si>
  <si>
    <t>Ván ép</t>
  </si>
  <si>
    <t>Tấm</t>
  </si>
  <si>
    <t>II. Đầu tư tài chính ngắn hạn</t>
  </si>
  <si>
    <t>I</t>
  </si>
  <si>
    <t>1. Chứng khoán kinh doanh</t>
  </si>
  <si>
    <t>Doanh thu bán thành phẩm</t>
  </si>
  <si>
    <t>Giấy Melamin</t>
  </si>
  <si>
    <t>2. Dự phòng giảm giá chứng khoán kinh doanh (*)</t>
  </si>
  <si>
    <t>B</t>
  </si>
  <si>
    <t>SL BÁN HÀNG</t>
  </si>
  <si>
    <t>3. Đầu tư nắm giữ đến ngày đáo hạn</t>
  </si>
  <si>
    <t>MDF</t>
  </si>
  <si>
    <t>III. Các khoản phải thu ngắn hạn</t>
  </si>
  <si>
    <t>Dăm</t>
  </si>
  <si>
    <t>1. Phải thu ngắn hạn của khách hàng</t>
  </si>
  <si>
    <t>C</t>
  </si>
  <si>
    <t>Plywood</t>
  </si>
  <si>
    <t>2. Trả trước cho người bán ngắn hạn</t>
  </si>
  <si>
    <t>Trđ</t>
  </si>
  <si>
    <t>3. Phải thu nội bộ ngắn hạn</t>
  </si>
  <si>
    <t>HDF</t>
  </si>
  <si>
    <t>4. Phải thu theo tiến độ kế hoạch hợp đồng xây dựng</t>
  </si>
  <si>
    <t>Giấy Melamine</t>
  </si>
  <si>
    <t>5. Phải thu về cho vay ngắn hạn</t>
  </si>
  <si>
    <t>6. Phải thu ngắn hạn khác</t>
  </si>
  <si>
    <t>Giấy thô</t>
  </si>
  <si>
    <t>Giấy Laminate</t>
  </si>
  <si>
    <t>7. Dự phòng phải thu ngắn hạn khó đòi (*)</t>
  </si>
  <si>
    <t>8. Tài sản thiếu chờ xử lý</t>
  </si>
  <si>
    <t>Giá bán Bình quân</t>
  </si>
  <si>
    <t>Nẹp</t>
  </si>
  <si>
    <t>IV. Hàng tồn kho</t>
  </si>
  <si>
    <t>Khác</t>
  </si>
  <si>
    <t>1. Hàng tồn kho</t>
  </si>
  <si>
    <t>II</t>
  </si>
  <si>
    <t xml:space="preserve">Doanh thu thương mại </t>
  </si>
  <si>
    <t>2. Dự phòng giảm giá hàng tồn kho (*)</t>
  </si>
  <si>
    <t>D</t>
  </si>
  <si>
    <t>V. Tài sản ngắn hạn khác</t>
  </si>
  <si>
    <t>GIÁ VỐN HÀNG BÁN</t>
  </si>
  <si>
    <t>1. Chi phí trả trước ngắn hạn</t>
  </si>
  <si>
    <t>2. Thuế GTGT được khấu trừ</t>
  </si>
  <si>
    <t>Giá vốn hàng bán thành phẩm</t>
  </si>
  <si>
    <t>3. Thuế và các khoản khác phải thu Nhà nước</t>
  </si>
  <si>
    <t>4. Giao dịch mua bán lại trái phiếu Chính phủ</t>
  </si>
  <si>
    <t>5. Tài sản ngắn hạn khác</t>
  </si>
  <si>
    <t>Giá bán Bình quân thương mại</t>
  </si>
  <si>
    <t>B - TÀI SẢN DÀI HẠN (200=210+220+230+240+250+260)</t>
  </si>
  <si>
    <t>Cốt giấy Kraft</t>
  </si>
  <si>
    <t>I. Các khoản phải thu dài hạn</t>
  </si>
  <si>
    <t>1. Khoản phải thu thương mại dài hạn</t>
  </si>
  <si>
    <t>Giấy melamine</t>
  </si>
  <si>
    <t>2. Trả trước cho người bán dài hạn</t>
  </si>
  <si>
    <t>3. Vốn lưu động ở các đơn vị trực thuộc</t>
  </si>
  <si>
    <t>Đơn giá vốn</t>
  </si>
  <si>
    <t>4. Phải thu nội bộ dài hạn</t>
  </si>
  <si>
    <t>5. Phải thu về cho vay dài hạn</t>
  </si>
  <si>
    <t>6. Phải thu dài hạn khác</t>
  </si>
  <si>
    <t>7. Dự phòng phải thu dài hạn khó đòi (*)</t>
  </si>
  <si>
    <t>II. Tài sản cố định</t>
  </si>
  <si>
    <t xml:space="preserve">Giá vốn thương mại </t>
  </si>
  <si>
    <t>Gỗ nhựa</t>
  </si>
  <si>
    <t>1. TSCĐ hữu hình</t>
  </si>
  <si>
    <t>E</t>
  </si>
  <si>
    <t>- Nguyên giá</t>
  </si>
  <si>
    <t>Lãi gộp</t>
  </si>
  <si>
    <t>- Giá trị hao mòn lũy kế (*)</t>
  </si>
  <si>
    <t>2. TSCĐ thuê tài chính</t>
  </si>
  <si>
    <t>III</t>
  </si>
  <si>
    <t>Doanh thu dịch vụ</t>
  </si>
  <si>
    <t>%</t>
  </si>
  <si>
    <t>Chi phí vận chuyển</t>
  </si>
  <si>
    <t>3. TSCĐ vô hình</t>
  </si>
  <si>
    <t>Thuê địa điểm</t>
  </si>
  <si>
    <t>F</t>
  </si>
  <si>
    <t>Doanh thu tài chính</t>
  </si>
  <si>
    <t>Cho thuế điện</t>
  </si>
  <si>
    <t>III. Bất động sản đầu tư</t>
  </si>
  <si>
    <t>G</t>
  </si>
  <si>
    <t>Chi phí tài chính</t>
  </si>
  <si>
    <t>Đơn giá vốn thương mại</t>
  </si>
  <si>
    <t>IV</t>
  </si>
  <si>
    <t>Doanh thu sản xuất Minh Long QN</t>
  </si>
  <si>
    <t>IV. Tài sản dở dang dài hạn</t>
  </si>
  <si>
    <t>1. Chi phí sản xuất, kinh doanh dở dang dài hạn</t>
  </si>
  <si>
    <t>H</t>
  </si>
  <si>
    <t>Chi phí quản lý</t>
  </si>
  <si>
    <t>2. Chi phí xây dựng cơ bản dở dang</t>
  </si>
  <si>
    <t>V. Đầu tư tài chính dài hạn</t>
  </si>
  <si>
    <t>1. Đầu tư vào công ty con</t>
  </si>
  <si>
    <t>Chi phí bán hàng</t>
  </si>
  <si>
    <t>2. Đầu tư vào công ty liên kết, liên doanh</t>
  </si>
  <si>
    <t>3. Đầu tư góp vốn vào đơn vị khác</t>
  </si>
  <si>
    <t>K</t>
  </si>
  <si>
    <t>LN thuần từ HĐKD</t>
  </si>
  <si>
    <t>4. Dự phòng đầu tư tài chính dài hạn (*)</t>
  </si>
  <si>
    <t>5. Đầu tư nắm giữ đến ngày đáo hạn</t>
  </si>
  <si>
    <t>VI. Tài sản dài hạn khác</t>
  </si>
  <si>
    <t>1. Chi phí trả trước dài hạn</t>
  </si>
  <si>
    <t>2. Tài sản thuế thu nhập hoãn lại</t>
  </si>
  <si>
    <t>Thu nhập khác</t>
  </si>
  <si>
    <t>3. Thiết bị, vật tư, phụ tùng thay thế dài hạn</t>
  </si>
  <si>
    <t>4. Tài sản dài hạn khác</t>
  </si>
  <si>
    <t>Chi phí khác</t>
  </si>
  <si>
    <t>5. Ký quỹ dài hạn</t>
  </si>
  <si>
    <t>6. Lợi thế thương mại</t>
  </si>
  <si>
    <t>L</t>
  </si>
  <si>
    <t>LN khác</t>
  </si>
  <si>
    <t>TỔNG CỘNG TÀI SẢN (270=100+200)</t>
  </si>
  <si>
    <t>C - NỢ PHẢI TRẢ (300=310+330)</t>
  </si>
  <si>
    <t>M</t>
  </si>
  <si>
    <t>I. Nợ ngắn hạn</t>
  </si>
  <si>
    <t>LN Trước thuế</t>
  </si>
  <si>
    <t>1. Phải trả người bán ngắn hạn</t>
  </si>
  <si>
    <t>Khấu Hao</t>
  </si>
  <si>
    <t>2. Người mua trả tiền trước ngắn hạn</t>
  </si>
  <si>
    <t>EBITDA</t>
  </si>
  <si>
    <t>3. Thuế và các khoản phải nộp Nhà nước</t>
  </si>
  <si>
    <t>4. Phải trả người lao động</t>
  </si>
  <si>
    <t>DT</t>
  </si>
  <si>
    <t>GV</t>
  </si>
  <si>
    <t>5. Chi phí phải trả ngắn hạn</t>
  </si>
  <si>
    <t>LN GỘP</t>
  </si>
  <si>
    <t>CL</t>
  </si>
  <si>
    <t>6. Phải trả nội bộ ngắn hạn</t>
  </si>
  <si>
    <t>CPBH</t>
  </si>
  <si>
    <t>CPQL</t>
  </si>
  <si>
    <t>7. Phải trả theo tiến độ kế hoạch hợp đồng xây dựng</t>
  </si>
  <si>
    <t>8. Doanh thu chưa thực hiện ngắn hạn</t>
  </si>
  <si>
    <t>9. Phải trả ngắn hạn khác</t>
  </si>
  <si>
    <t>Phó Tổng Giám Đốc</t>
  </si>
  <si>
    <t>(trong đó: Chi phí lãi vay)</t>
  </si>
  <si>
    <t>10. Vay và nợ thuê tài chính ngắn hạn</t>
  </si>
  <si>
    <t>11. Dự phòng phải trả ngắn hạn</t>
  </si>
  <si>
    <t>12. Quỹ khen thưởng phúc lợi</t>
  </si>
  <si>
    <t>13. Quỹ bình ổn giá</t>
  </si>
  <si>
    <t>14. Giao dịch mua bán lại trái phiếu Chính phủ</t>
  </si>
  <si>
    <t>II. Nợ dài hạn</t>
  </si>
  <si>
    <t>1. Phải trả người bán dài hạn</t>
  </si>
  <si>
    <t>2. Người mua trả tiền trước dài hạn</t>
  </si>
  <si>
    <t>3. Chi phí phải trả dài hạn</t>
  </si>
  <si>
    <t>4. Phải trả nội bộ về vốn kinh doanh</t>
  </si>
  <si>
    <t>Thu/chi khác</t>
  </si>
  <si>
    <t>5. Phải trả dài hạn nội bộ</t>
  </si>
  <si>
    <t>6. Doanh thu chưa thực hiện dài hạn</t>
  </si>
  <si>
    <t>7. Phải trả dài hạn khác</t>
  </si>
  <si>
    <t>8. Vay và nợ thuê tài chính dài hạn</t>
  </si>
  <si>
    <t>9. Trái phiếu chuyển đổi</t>
  </si>
  <si>
    <t>Thuế</t>
  </si>
  <si>
    <t>10. Cổ phiếu ưu đãi</t>
  </si>
  <si>
    <t>11. Thuế  thu nhập hoãn lại phải trả</t>
  </si>
  <si>
    <t>12. Dự phòng phải trả dài hạn</t>
  </si>
  <si>
    <t>13. Quỹ phát triển khoa học và công nghệ</t>
  </si>
  <si>
    <t>D - VỐN CHỦ SỞ HỮU (400=410+420)</t>
  </si>
  <si>
    <t>N</t>
  </si>
  <si>
    <t>EBIT</t>
  </si>
  <si>
    <t>I. Vốn chủ sở hữu</t>
  </si>
  <si>
    <t>Thu/Chi</t>
  </si>
  <si>
    <t>1. Vốn góp chủ sở hữu</t>
  </si>
  <si>
    <t>O</t>
  </si>
  <si>
    <t>411a</t>
  </si>
  <si>
    <t>- Cổ phiếu phổ thông có quyền biểu quyết</t>
  </si>
  <si>
    <t>DÒNG TIỀN TỪ HOẠT ĐỘNG KINH DOANH</t>
  </si>
  <si>
    <t>Lợi nhuận ròng</t>
  </si>
  <si>
    <t>thu</t>
  </si>
  <si>
    <t>411b</t>
  </si>
  <si>
    <t>- Cổ phiếu ưu đãi</t>
  </si>
  <si>
    <t>Khấu hao tài sản cố định</t>
  </si>
  <si>
    <t>chi</t>
  </si>
  <si>
    <t>2. Thặng dư vốn cổ phần</t>
  </si>
  <si>
    <t>3. Quyền chọn chuyển đổi trái phiếu</t>
  </si>
  <si>
    <t>Dự phòng</t>
  </si>
  <si>
    <t>4. Vốn khác của chủ sở hữu</t>
  </si>
  <si>
    <t>Biến động vốn lưu động</t>
  </si>
  <si>
    <t>Tăng các khoản phải thu</t>
  </si>
  <si>
    <t>5. Cổ phiếu quỹ (*)</t>
  </si>
  <si>
    <t>Giảm các khoản phải thu</t>
  </si>
  <si>
    <t>6. Chênh lệch đánh giá lại tài sản</t>
  </si>
  <si>
    <t>Tăng hàng tồn kho</t>
  </si>
  <si>
    <t>Giảm hàng tồn kho</t>
  </si>
  <si>
    <t>7. Chênh lệch tỷ giá hối đoái</t>
  </si>
  <si>
    <t>Tăng các khoản phải trả</t>
  </si>
  <si>
    <t>Giảm các phải trả</t>
  </si>
  <si>
    <t>8. Quỹ đầu tư phát triển</t>
  </si>
  <si>
    <t>Các khoản điều chỉnh khác</t>
  </si>
  <si>
    <t>9. Quỹ hỗ trợ sắp xếp doanh nghiệp</t>
  </si>
  <si>
    <t>10. Quỹ khác thuộc vốn chủ sở hữu</t>
  </si>
  <si>
    <t>Dòng tiền thuần từ hoạt động kinh doanh</t>
  </si>
  <si>
    <t>DÒNG TIỀN TỪ HOẠT ĐỘNG ĐẦU TƯ</t>
  </si>
  <si>
    <t>Tiền chi để mua sắm, xây dựng tài sản cố định và các tài sản dài hạn khác</t>
  </si>
  <si>
    <t>11. Lợi nhuận sau thuế chưa phân phối</t>
  </si>
  <si>
    <t>Tiền thu từ thanh lý, nhượng bán tài sản cố định và tài sản dài hạn khác</t>
  </si>
  <si>
    <t>Tiền chi cho vay, mua công cụ nợ của các đơn vị khác</t>
  </si>
  <si>
    <t>Tiền thu hồi cho vay và thu từ bán công cụ nợ của các đơn vị khác</t>
  </si>
  <si>
    <t>Tiền chi đầu tư vốn cổ phần vào đơn vị khác</t>
  </si>
  <si>
    <t>Tiền thu từ thoái vốn cổ phần tại đơn vị khác</t>
  </si>
  <si>
    <t>Tiền thu từ lãi và cổ tức được nhận</t>
  </si>
  <si>
    <t>Dòng tiền thuần từ hoạt động đầu tư</t>
  </si>
  <si>
    <t>DÒNG TIỀN TỪ HOẠT ĐỘNG TÀI CHÍNH</t>
  </si>
  <si>
    <t>Tiền thu từ phát hành cổ phiếu, vốn góp của chủ sở hữu</t>
  </si>
  <si>
    <t>Tiền chi do rút vốn, mua lại cổ phiếu đã phát hành</t>
  </si>
  <si>
    <t>421a</t>
  </si>
  <si>
    <t>- LNST chưa phân phối lũy kế đến cuối kỳ trước</t>
  </si>
  <si>
    <t>420a</t>
  </si>
  <si>
    <t>Tiền thu từ đi vay</t>
  </si>
  <si>
    <t>Tiền chi trả nợ gốc vay</t>
  </si>
  <si>
    <t>Tiền chi trả cho thuê tài chính</t>
  </si>
  <si>
    <t>Cổ tức và lợi nhuận đã trả cho cổ đông</t>
  </si>
  <si>
    <t>Tiền thu/ (chi) từ vay ngắn hạn</t>
  </si>
  <si>
    <t>Tiền thu/ (chi) từ vay dài hạn</t>
  </si>
  <si>
    <t>421b</t>
  </si>
  <si>
    <t>- LNST chưa phân phối kỳ này</t>
  </si>
  <si>
    <t>Các hoạt động tài chính khác</t>
  </si>
  <si>
    <t>420b</t>
  </si>
  <si>
    <t>Dòng tiền thuần từ hoạt động tài chính</t>
  </si>
  <si>
    <t>DÒNG TIỀN RÒNG TRONG NĂM</t>
  </si>
  <si>
    <t>Tiền và các khoản tương đương tiền đầu năm</t>
  </si>
  <si>
    <t>Ảnh hưởng của chênh lệch tỷ giá hối đoái</t>
  </si>
  <si>
    <t>Tiền và các khoản tương đương tiền cuối năm (70 = 50 + 60 + 61)</t>
  </si>
  <si>
    <t>12. Nguồn vốn đầu tư xây dựng cơ bản</t>
  </si>
  <si>
    <t>13. Lợi ích của cổ đông không kiểm soát</t>
  </si>
  <si>
    <t>II. Nguồn kinh phí và quỹ khác</t>
  </si>
  <si>
    <t>1. Nguồn kinh phí</t>
  </si>
  <si>
    <t>2. Nguồn kinh phí đã hình thành tscđ</t>
  </si>
  <si>
    <t>Mã</t>
  </si>
  <si>
    <t>Tên</t>
  </si>
  <si>
    <t>Vong_quay_phai_thu</t>
  </si>
  <si>
    <t>Vòng quay khoản phải thu</t>
  </si>
  <si>
    <t>Vong_quay_ton_kho</t>
  </si>
  <si>
    <t>Vòng quay hàng tồn kho</t>
  </si>
  <si>
    <t>Vong_quay_phai_tra</t>
  </si>
  <si>
    <t>Vòng quay khoản phải trả</t>
  </si>
  <si>
    <t>So_ngay_phai_thu</t>
  </si>
  <si>
    <t>Số ngày phải thu</t>
  </si>
  <si>
    <t>TỔNG CỘNG NGUỒN VỐN (440=300+400)</t>
  </si>
  <si>
    <t>So_ngay_hang_ton_kho</t>
  </si>
  <si>
    <t>Số ngày hàng tồn kho</t>
  </si>
  <si>
    <t>So_ngay_phai_tra</t>
  </si>
  <si>
    <t>Số ngày phải trả</t>
  </si>
  <si>
    <t>Chu_ky_tien_mat</t>
  </si>
  <si>
    <t>Chu kỳ tiền mặt</t>
  </si>
  <si>
    <t xml:space="preserve">HẠN MỨC TÍN DỤNG NGẮN HẠN </t>
  </si>
  <si>
    <t>Đơn vị : 1.000.000đ</t>
  </si>
  <si>
    <t>Doanh thu (dự kiến bằng 90% doanh thu đề ra)</t>
  </si>
  <si>
    <t>Chí phí giá vốn không gồm khấu hao:</t>
  </si>
  <si>
    <t>Chi phí quản lý bán hàng, chi phí sản xuất, chi phí khác</t>
  </si>
  <si>
    <t>Số ngày phải thu trung bình</t>
  </si>
  <si>
    <t>Số ngày tồn kho trung bình</t>
  </si>
  <si>
    <t>Số ngày sản xuất bình quân</t>
  </si>
  <si>
    <t>Số ngày vận chuyển , bán hàng</t>
  </si>
  <si>
    <t>Tỷ lệ KH ứng trước</t>
  </si>
  <si>
    <t>Theo đó:</t>
  </si>
  <si>
    <t>Tổng chi phí (không gồm khấu hao)</t>
  </si>
  <si>
    <t>Chu kỳ kinh doanh = Phải thu + Tồn kho + số ngày sản xuất
 + số ngày vận chuyển và bán hàng</t>
  </si>
  <si>
    <t>Số vòng quay vốn lưu động trong năm</t>
  </si>
  <si>
    <t>Nhu cầu vốn lưu động cho 1 vòng 
= Tổng chi phí không gồm khấu hao / số vòng trong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</si>
</sst>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00_);_(* \(#,##0.000\);_(* &quot;-&quot;???_);_(@_)"/>
  </numFmts>
  <fonts count="28" x14ac:knownFonts="1">
    <font>
      <sz val="11"/>
      <color theme="1"/>
      <name val="Calibri"/>
      <scheme val="minor"/>
    </font>
    <font>
      <b/>
      <sz val="12"/>
      <color theme="0"/>
      <name val="Times New Roman"/>
      <family val="1"/>
    </font>
    <font>
      <b/>
      <sz val="18"/>
      <color theme="1"/>
      <name val="Times New Roman"/>
      <family val="1"/>
    </font>
    <font>
      <b/>
      <sz val="12"/>
      <color rgb="FFFFFFFF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0"/>
      <name val="Times New Roman"/>
      <family val="1"/>
    </font>
    <font>
      <sz val="11"/>
      <name val="Calibri"/>
      <family val="2"/>
    </font>
    <font>
      <sz val="14"/>
      <color theme="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FFFFFF"/>
      <name val="Times New Roman"/>
      <family val="1"/>
    </font>
    <font>
      <b/>
      <i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Calibri"/>
      <family val="2"/>
    </font>
    <font>
      <i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</font>
    <font>
      <sz val="18"/>
      <color theme="1"/>
      <name val="Times New Roman"/>
      <family val="1"/>
    </font>
    <font>
      <b/>
      <sz val="11"/>
      <color theme="1"/>
      <name val="Calibri"/>
      <family val="2"/>
    </font>
    <font>
      <sz val="13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B8CCE4"/>
        <bgColor rgb="FFB8CCE4"/>
      </patternFill>
    </fill>
    <fill>
      <patternFill patternType="solid">
        <fgColor rgb="FFFFCC00"/>
        <bgColor rgb="FFFFCC00"/>
      </patternFill>
    </fill>
    <fill>
      <patternFill patternType="solid">
        <fgColor rgb="FFFDE9D9"/>
        <bgColor rgb="FFFDE9D9"/>
      </patternFill>
    </fill>
    <fill>
      <patternFill patternType="solid">
        <fgColor rgb="FFC9DAF8"/>
        <bgColor rgb="FFC9DAF8"/>
      </patternFill>
    </fill>
  </fills>
  <borders count="2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double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thick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double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/>
    </xf>
    <xf numFmtId="0" fontId="4" fillId="0" borderId="0" xfId="0" applyFont="1"/>
    <xf numFmtId="164" fontId="5" fillId="0" borderId="0" xfId="0" applyNumberFormat="1" applyFont="1"/>
    <xf numFmtId="9" fontId="6" fillId="0" borderId="0" xfId="0" applyNumberFormat="1" applyFont="1"/>
    <xf numFmtId="0" fontId="7" fillId="0" borderId="0" xfId="0" applyFont="1" applyAlignment="1">
      <alignment vertical="center"/>
    </xf>
    <xf numFmtId="9" fontId="5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3" fontId="9" fillId="0" borderId="0" xfId="0" applyNumberFormat="1" applyFont="1" applyAlignment="1">
      <alignment horizontal="right"/>
    </xf>
    <xf numFmtId="164" fontId="7" fillId="0" borderId="3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right"/>
    </xf>
    <xf numFmtId="164" fontId="8" fillId="0" borderId="3" xfId="0" applyNumberFormat="1" applyFont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0" fontId="8" fillId="3" borderId="6" xfId="0" applyFont="1" applyFill="1" applyBorder="1"/>
    <xf numFmtId="0" fontId="7" fillId="3" borderId="6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64" fontId="13" fillId="3" borderId="3" xfId="0" applyNumberFormat="1" applyFont="1" applyFill="1" applyBorder="1" applyAlignment="1">
      <alignment horizontal="center"/>
    </xf>
    <xf numFmtId="164" fontId="8" fillId="3" borderId="6" xfId="0" applyNumberFormat="1" applyFont="1" applyFill="1" applyBorder="1" applyAlignment="1">
      <alignment horizontal="center" vertical="center"/>
    </xf>
    <xf numFmtId="9" fontId="6" fillId="4" borderId="7" xfId="0" applyNumberFormat="1" applyFont="1" applyFill="1" applyBorder="1"/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0" fontId="8" fillId="5" borderId="6" xfId="0" applyFont="1" applyFill="1" applyBorder="1" applyAlignment="1">
      <alignment horizontal="center"/>
    </xf>
    <xf numFmtId="0" fontId="8" fillId="5" borderId="6" xfId="0" applyFont="1" applyFill="1" applyBorder="1"/>
    <xf numFmtId="3" fontId="15" fillId="0" borderId="0" xfId="0" applyNumberFormat="1" applyFont="1" applyAlignment="1">
      <alignment horizontal="right"/>
    </xf>
    <xf numFmtId="164" fontId="13" fillId="5" borderId="3" xfId="0" applyNumberFormat="1" applyFont="1" applyFill="1" applyBorder="1" applyAlignment="1">
      <alignment horizontal="center"/>
    </xf>
    <xf numFmtId="165" fontId="16" fillId="0" borderId="3" xfId="0" applyNumberFormat="1" applyFont="1" applyBorder="1" applyAlignment="1">
      <alignment horizontal="center" vertical="center"/>
    </xf>
    <xf numFmtId="164" fontId="6" fillId="0" borderId="0" xfId="0" applyNumberFormat="1" applyFont="1"/>
    <xf numFmtId="164" fontId="8" fillId="5" borderId="6" xfId="0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right"/>
    </xf>
    <xf numFmtId="165" fontId="18" fillId="0" borderId="3" xfId="0" applyNumberFormat="1" applyFont="1" applyBorder="1" applyAlignment="1">
      <alignment horizontal="center" vertical="center"/>
    </xf>
    <xf numFmtId="0" fontId="5" fillId="0" borderId="0" xfId="0" applyFont="1"/>
    <xf numFmtId="164" fontId="9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6" fillId="0" borderId="0" xfId="0" applyFont="1"/>
    <xf numFmtId="165" fontId="7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6" fillId="0" borderId="3" xfId="0" applyFont="1" applyBorder="1"/>
    <xf numFmtId="0" fontId="19" fillId="0" borderId="0" xfId="0" applyFont="1"/>
    <xf numFmtId="0" fontId="18" fillId="0" borderId="3" xfId="0" applyFont="1" applyBorder="1" applyAlignment="1">
      <alignment horizontal="center"/>
    </xf>
    <xf numFmtId="166" fontId="19" fillId="0" borderId="0" xfId="0" applyNumberFormat="1" applyFont="1"/>
    <xf numFmtId="0" fontId="20" fillId="0" borderId="0" xfId="0" applyFont="1"/>
    <xf numFmtId="0" fontId="18" fillId="0" borderId="3" xfId="0" applyFont="1" applyBorder="1"/>
    <xf numFmtId="164" fontId="18" fillId="0" borderId="3" xfId="0" applyNumberFormat="1" applyFont="1" applyBorder="1" applyAlignment="1">
      <alignment horizontal="center" vertical="center"/>
    </xf>
    <xf numFmtId="43" fontId="18" fillId="0" borderId="3" xfId="0" applyNumberFormat="1" applyFont="1" applyBorder="1" applyAlignment="1">
      <alignment horizontal="center" vertical="center"/>
    </xf>
    <xf numFmtId="43" fontId="20" fillId="0" borderId="0" xfId="0" applyNumberFormat="1" applyFont="1"/>
    <xf numFmtId="9" fontId="7" fillId="0" borderId="3" xfId="0" applyNumberFormat="1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/>
    </xf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/>
    </xf>
    <xf numFmtId="165" fontId="15" fillId="0" borderId="3" xfId="0" applyNumberFormat="1" applyFont="1" applyBorder="1" applyAlignment="1">
      <alignment horizontal="center"/>
    </xf>
    <xf numFmtId="165" fontId="17" fillId="0" borderId="3" xfId="0" applyNumberFormat="1" applyFont="1" applyBorder="1" applyAlignment="1">
      <alignment horizontal="center"/>
    </xf>
    <xf numFmtId="0" fontId="21" fillId="3" borderId="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vertical="center"/>
    </xf>
    <xf numFmtId="0" fontId="22" fillId="3" borderId="6" xfId="0" applyFont="1" applyFill="1" applyBorder="1" applyAlignment="1">
      <alignment horizontal="center" vertical="center"/>
    </xf>
    <xf numFmtId="164" fontId="21" fillId="3" borderId="6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8" xfId="0" applyFont="1" applyFill="1" applyBorder="1"/>
    <xf numFmtId="0" fontId="7" fillId="3" borderId="8" xfId="0" applyFont="1" applyFill="1" applyBorder="1" applyAlignment="1">
      <alignment horizontal="center"/>
    </xf>
    <xf numFmtId="164" fontId="8" fillId="3" borderId="8" xfId="0" applyNumberFormat="1" applyFont="1" applyFill="1" applyBorder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0" fontId="24" fillId="0" borderId="0" xfId="0" applyFont="1"/>
    <xf numFmtId="10" fontId="6" fillId="0" borderId="0" xfId="0" applyNumberFormat="1" applyFont="1"/>
    <xf numFmtId="9" fontId="17" fillId="0" borderId="3" xfId="0" applyNumberFormat="1" applyFont="1" applyBorder="1" applyAlignment="1">
      <alignment horizontal="center"/>
    </xf>
    <xf numFmtId="9" fontId="18" fillId="0" borderId="3" xfId="0" applyNumberFormat="1" applyFont="1" applyBorder="1" applyAlignment="1">
      <alignment horizontal="center" vertical="center"/>
    </xf>
    <xf numFmtId="43" fontId="6" fillId="0" borderId="0" xfId="0" applyNumberFormat="1" applyFont="1"/>
    <xf numFmtId="0" fontId="18" fillId="3" borderId="6" xfId="0" applyFont="1" applyFill="1" applyBorder="1"/>
    <xf numFmtId="164" fontId="17" fillId="3" borderId="3" xfId="0" applyNumberFormat="1" applyFont="1" applyFill="1" applyBorder="1" applyAlignment="1">
      <alignment horizontal="center"/>
    </xf>
    <xf numFmtId="164" fontId="18" fillId="3" borderId="6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164" fontId="8" fillId="3" borderId="3" xfId="0" applyNumberFormat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/>
    </xf>
    <xf numFmtId="164" fontId="21" fillId="3" borderId="3" xfId="0" applyNumberFormat="1" applyFont="1" applyFill="1" applyBorder="1" applyAlignment="1">
      <alignment horizontal="center"/>
    </xf>
    <xf numFmtId="165" fontId="8" fillId="0" borderId="3" xfId="0" applyNumberFormat="1" applyFont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164" fontId="1" fillId="2" borderId="12" xfId="0" applyNumberFormat="1" applyFont="1" applyFill="1" applyBorder="1" applyAlignment="1">
      <alignment horizontal="center" vertical="center"/>
    </xf>
    <xf numFmtId="164" fontId="13" fillId="3" borderId="13" xfId="0" applyNumberFormat="1" applyFont="1" applyFill="1" applyBorder="1" applyAlignment="1">
      <alignment horizontal="center"/>
    </xf>
    <xf numFmtId="164" fontId="3" fillId="2" borderId="12" xfId="0" applyNumberFormat="1" applyFont="1" applyFill="1" applyBorder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7" fillId="0" borderId="0" xfId="0" applyFont="1"/>
    <xf numFmtId="0" fontId="18" fillId="0" borderId="2" xfId="0" applyFont="1" applyBorder="1" applyAlignment="1">
      <alignment vertical="center" wrapText="1"/>
    </xf>
    <xf numFmtId="0" fontId="7" fillId="0" borderId="15" xfId="0" applyFont="1" applyBorder="1"/>
    <xf numFmtId="164" fontId="7" fillId="0" borderId="16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5" fontId="16" fillId="0" borderId="16" xfId="0" applyNumberFormat="1" applyFont="1" applyBorder="1" applyAlignment="1">
      <alignment horizontal="center" vertical="center"/>
    </xf>
    <xf numFmtId="10" fontId="5" fillId="0" borderId="0" xfId="0" applyNumberFormat="1" applyFont="1"/>
    <xf numFmtId="43" fontId="5" fillId="0" borderId="0" xfId="0" applyNumberFormat="1" applyFont="1"/>
    <xf numFmtId="165" fontId="18" fillId="0" borderId="16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8" fillId="6" borderId="15" xfId="0" applyFont="1" applyFill="1" applyBorder="1"/>
    <xf numFmtId="164" fontId="8" fillId="6" borderId="16" xfId="0" applyNumberFormat="1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wrapText="1"/>
    </xf>
    <xf numFmtId="0" fontId="2" fillId="0" borderId="0" xfId="0" applyFont="1"/>
    <xf numFmtId="164" fontId="7" fillId="0" borderId="3" xfId="0" applyNumberFormat="1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left" vertical="center" wrapText="1"/>
    </xf>
    <xf numFmtId="165" fontId="16" fillId="0" borderId="3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0" fontId="25" fillId="0" borderId="0" xfId="0" applyFont="1"/>
    <xf numFmtId="165" fontId="16" fillId="0" borderId="17" xfId="0" applyNumberFormat="1" applyFont="1" applyBorder="1" applyAlignment="1">
      <alignment horizontal="left" vertical="center"/>
    </xf>
    <xf numFmtId="165" fontId="7" fillId="0" borderId="16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164" fontId="27" fillId="0" borderId="0" xfId="0" applyNumberFormat="1" applyFont="1" applyAlignment="1">
      <alignment horizontal="center"/>
    </xf>
    <xf numFmtId="164" fontId="14" fillId="2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8" fillId="3" borderId="18" xfId="0" applyFont="1" applyFill="1" applyBorder="1" applyAlignment="1">
      <alignment horizontal="center" vertical="center"/>
    </xf>
    <xf numFmtId="164" fontId="8" fillId="3" borderId="19" xfId="0" applyNumberFormat="1" applyFont="1" applyFill="1" applyBorder="1" applyAlignment="1">
      <alignment horizontal="left" vertical="center"/>
    </xf>
    <xf numFmtId="3" fontId="13" fillId="3" borderId="20" xfId="0" applyNumberFormat="1" applyFont="1" applyFill="1" applyBorder="1" applyAlignment="1">
      <alignment horizontal="right"/>
    </xf>
    <xf numFmtId="3" fontId="8" fillId="3" borderId="8" xfId="0" applyNumberFormat="1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3" fontId="7" fillId="0" borderId="0" xfId="0" applyNumberFormat="1" applyFont="1" applyAlignment="1">
      <alignment horizontal="right" vertical="center"/>
    </xf>
    <xf numFmtId="3" fontId="6" fillId="0" borderId="0" xfId="0" applyNumberFormat="1" applyFont="1"/>
    <xf numFmtId="0" fontId="6" fillId="0" borderId="21" xfId="0" applyFont="1" applyBorder="1"/>
    <xf numFmtId="3" fontId="6" fillId="0" borderId="21" xfId="0" applyNumberFormat="1" applyFont="1" applyBorder="1"/>
    <xf numFmtId="9" fontId="6" fillId="0" borderId="21" xfId="0" applyNumberFormat="1" applyFont="1" applyBorder="1"/>
    <xf numFmtId="0" fontId="8" fillId="0" borderId="15" xfId="0" applyFont="1" applyBorder="1"/>
    <xf numFmtId="164" fontId="8" fillId="0" borderId="22" xfId="0" applyNumberFormat="1" applyFont="1" applyBorder="1" applyAlignment="1">
      <alignment horizontal="left" vertical="center"/>
    </xf>
    <xf numFmtId="164" fontId="7" fillId="0" borderId="22" xfId="0" applyNumberFormat="1" applyFont="1" applyBorder="1" applyAlignment="1">
      <alignment horizontal="left" vertical="center"/>
    </xf>
    <xf numFmtId="165" fontId="16" fillId="0" borderId="22" xfId="0" applyNumberFormat="1" applyFont="1" applyBorder="1" applyAlignment="1">
      <alignment horizontal="left" vertical="center"/>
    </xf>
    <xf numFmtId="165" fontId="18" fillId="0" borderId="22" xfId="0" applyNumberFormat="1" applyFont="1" applyBorder="1" applyAlignment="1">
      <alignment horizontal="left" vertical="center"/>
    </xf>
    <xf numFmtId="165" fontId="16" fillId="0" borderId="23" xfId="0" applyNumberFormat="1" applyFont="1" applyBorder="1" applyAlignment="1">
      <alignment horizontal="left" vertical="center"/>
    </xf>
    <xf numFmtId="0" fontId="7" fillId="0" borderId="24" xfId="0" applyFont="1" applyBorder="1"/>
    <xf numFmtId="164" fontId="16" fillId="0" borderId="25" xfId="0" applyNumberFormat="1" applyFont="1" applyBorder="1" applyAlignment="1">
      <alignment horizontal="center" vertical="center"/>
    </xf>
    <xf numFmtId="164" fontId="16" fillId="0" borderId="17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164" fontId="10" fillId="2" borderId="4" xfId="0" applyNumberFormat="1" applyFont="1" applyFill="1" applyBorder="1" applyAlignment="1">
      <alignment horizontal="center" vertical="center" wrapText="1"/>
    </xf>
    <xf numFmtId="0" fontId="11" fillId="0" borderId="5" xfId="0" applyFont="1" applyBorder="1"/>
    <xf numFmtId="0" fontId="2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B4" workbookViewId="0">
      <selection activeCell="C14" sqref="C14"/>
    </sheetView>
  </sheetViews>
  <sheetFormatPr defaultColWidth="14.44140625" defaultRowHeight="15" customHeight="1" x14ac:dyDescent="0.3"/>
  <cols>
    <col min="1" max="1" width="8" customWidth="1"/>
    <col min="2" max="2" width="36.6640625" customWidth="1"/>
    <col min="3" max="3" width="10.6640625" customWidth="1"/>
    <col min="4" max="4" width="17.33203125" customWidth="1"/>
    <col min="5" max="6" width="14.6640625" customWidth="1"/>
    <col min="7" max="7" width="12.88671875" customWidth="1"/>
    <col min="8" max="13" width="12.6640625" customWidth="1"/>
    <col min="14" max="15" width="13.88671875" customWidth="1"/>
    <col min="16" max="16" width="12.88671875" customWidth="1"/>
    <col min="17" max="17" width="10" hidden="1" customWidth="1"/>
    <col min="18" max="26" width="8" customWidth="1"/>
  </cols>
  <sheetData>
    <row r="1" spans="1:26" ht="21" customHeight="1" x14ac:dyDescent="0.4">
      <c r="A1" s="145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spans="1:26" ht="21" customHeight="1" x14ac:dyDescent="0.4">
      <c r="A2" s="145" t="s">
        <v>3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1:26" ht="15" customHeight="1" x14ac:dyDescent="0.3">
      <c r="D3" s="5">
        <f>SUM(E3:P3)</f>
        <v>1</v>
      </c>
      <c r="E3" s="5">
        <v>0.05</v>
      </c>
      <c r="F3" s="5">
        <v>0.08</v>
      </c>
      <c r="G3" s="5">
        <v>7.0000000000000007E-2</v>
      </c>
      <c r="H3" s="5">
        <v>0.05</v>
      </c>
      <c r="I3" s="5">
        <v>0.02</v>
      </c>
      <c r="J3" s="5">
        <v>0.04</v>
      </c>
      <c r="K3" s="5">
        <v>0.06</v>
      </c>
      <c r="L3" s="5">
        <v>0.08</v>
      </c>
      <c r="M3" s="5">
        <v>0.1</v>
      </c>
      <c r="N3" s="5">
        <v>0.15</v>
      </c>
      <c r="O3" s="5">
        <v>0.15</v>
      </c>
      <c r="P3" s="5">
        <v>0.15</v>
      </c>
      <c r="Q3" s="147" t="s">
        <v>17</v>
      </c>
    </row>
    <row r="4" spans="1:26" ht="18" customHeight="1" x14ac:dyDescent="0.3">
      <c r="A4" s="12" t="s">
        <v>18</v>
      </c>
      <c r="B4" s="12" t="s">
        <v>19</v>
      </c>
      <c r="C4" s="13" t="s">
        <v>20</v>
      </c>
      <c r="D4" s="16" t="s">
        <v>22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48"/>
    </row>
    <row r="5" spans="1:26" ht="15.75" customHeight="1" x14ac:dyDescent="0.3">
      <c r="A5" s="18" t="s">
        <v>24</v>
      </c>
      <c r="B5" s="19" t="s">
        <v>25</v>
      </c>
      <c r="C5" s="20" t="s">
        <v>26</v>
      </c>
      <c r="D5" s="24">
        <f t="shared" ref="D5:P5" si="0">SUBTOTAL(9,D6:D7)</f>
        <v>7608600</v>
      </c>
      <c r="E5" s="24">
        <f t="shared" si="0"/>
        <v>380430</v>
      </c>
      <c r="F5" s="24">
        <f t="shared" si="0"/>
        <v>608688</v>
      </c>
      <c r="G5" s="24">
        <f t="shared" si="0"/>
        <v>532602.00000000012</v>
      </c>
      <c r="H5" s="24">
        <f t="shared" si="0"/>
        <v>380430</v>
      </c>
      <c r="I5" s="24">
        <f t="shared" si="0"/>
        <v>152172</v>
      </c>
      <c r="J5" s="24">
        <f t="shared" si="0"/>
        <v>304344</v>
      </c>
      <c r="K5" s="24">
        <f t="shared" si="0"/>
        <v>456516</v>
      </c>
      <c r="L5" s="24">
        <f t="shared" si="0"/>
        <v>608688</v>
      </c>
      <c r="M5" s="24">
        <f t="shared" si="0"/>
        <v>760860</v>
      </c>
      <c r="N5" s="24">
        <f t="shared" si="0"/>
        <v>1141290</v>
      </c>
      <c r="O5" s="24">
        <f t="shared" si="0"/>
        <v>1141290</v>
      </c>
      <c r="P5" s="24">
        <f t="shared" si="0"/>
        <v>1141290</v>
      </c>
      <c r="Q5" s="25">
        <v>0.05</v>
      </c>
    </row>
    <row r="6" spans="1:26" ht="15.75" customHeight="1" x14ac:dyDescent="0.3">
      <c r="A6" s="26">
        <v>1</v>
      </c>
      <c r="B6" s="27" t="s">
        <v>30</v>
      </c>
      <c r="C6" s="26" t="s">
        <v>31</v>
      </c>
      <c r="D6" s="11">
        <v>1158600</v>
      </c>
      <c r="E6" s="11">
        <v>57930</v>
      </c>
      <c r="F6" s="11">
        <v>92688</v>
      </c>
      <c r="G6" s="11">
        <v>81102.000000000015</v>
      </c>
      <c r="H6" s="11">
        <v>57930</v>
      </c>
      <c r="I6" s="11">
        <v>23172</v>
      </c>
      <c r="J6" s="11">
        <v>46344</v>
      </c>
      <c r="K6" s="11">
        <v>69516</v>
      </c>
      <c r="L6" s="11">
        <v>92688</v>
      </c>
      <c r="M6" s="11">
        <v>115860</v>
      </c>
      <c r="N6" s="11">
        <v>173790</v>
      </c>
      <c r="O6" s="11">
        <v>173790</v>
      </c>
      <c r="P6" s="11">
        <v>173790</v>
      </c>
      <c r="Q6" s="33">
        <v>120</v>
      </c>
    </row>
    <row r="7" spans="1:26" ht="15.75" customHeight="1" x14ac:dyDescent="0.3">
      <c r="A7" s="26">
        <v>2</v>
      </c>
      <c r="B7" s="27" t="s">
        <v>36</v>
      </c>
      <c r="C7" s="26" t="s">
        <v>31</v>
      </c>
      <c r="D7" s="11">
        <v>6450000</v>
      </c>
      <c r="E7" s="11">
        <v>322500</v>
      </c>
      <c r="F7" s="11">
        <v>516000</v>
      </c>
      <c r="G7" s="11">
        <v>451500.00000000006</v>
      </c>
      <c r="H7" s="11">
        <v>322500</v>
      </c>
      <c r="I7" s="11">
        <v>129000</v>
      </c>
      <c r="J7" s="11">
        <v>258000</v>
      </c>
      <c r="K7" s="11">
        <v>387000</v>
      </c>
      <c r="L7" s="11">
        <v>516000</v>
      </c>
      <c r="M7" s="11">
        <v>645000</v>
      </c>
      <c r="N7" s="11">
        <v>967500</v>
      </c>
      <c r="O7" s="11">
        <v>967500</v>
      </c>
      <c r="P7" s="11">
        <v>967500</v>
      </c>
      <c r="Q7" s="11" t="e">
        <f>$D$7*Q3</f>
        <v>#VALUE!</v>
      </c>
    </row>
    <row r="8" spans="1:26" ht="15.75" customHeight="1" x14ac:dyDescent="0.3">
      <c r="A8" s="18" t="s">
        <v>38</v>
      </c>
      <c r="B8" s="19" t="s">
        <v>39</v>
      </c>
      <c r="C8" s="20" t="s">
        <v>26</v>
      </c>
      <c r="D8" s="24">
        <f t="shared" ref="D8:P8" si="1">SUBTOTAL(9,D9:D10)</f>
        <v>3598600</v>
      </c>
      <c r="E8" s="24">
        <f t="shared" si="1"/>
        <v>179930</v>
      </c>
      <c r="F8" s="24">
        <f t="shared" si="1"/>
        <v>287888</v>
      </c>
      <c r="G8" s="24">
        <f t="shared" si="1"/>
        <v>251902.00000000006</v>
      </c>
      <c r="H8" s="24">
        <f t="shared" si="1"/>
        <v>179930</v>
      </c>
      <c r="I8" s="24">
        <f t="shared" si="1"/>
        <v>71972</v>
      </c>
      <c r="J8" s="24">
        <f t="shared" si="1"/>
        <v>143944</v>
      </c>
      <c r="K8" s="24">
        <f t="shared" si="1"/>
        <v>215916</v>
      </c>
      <c r="L8" s="24">
        <f t="shared" si="1"/>
        <v>287888</v>
      </c>
      <c r="M8" s="24">
        <f t="shared" si="1"/>
        <v>359860</v>
      </c>
      <c r="N8" s="24">
        <f t="shared" si="1"/>
        <v>539790</v>
      </c>
      <c r="O8" s="24">
        <f t="shared" si="1"/>
        <v>539790</v>
      </c>
      <c r="P8" s="24">
        <f t="shared" si="1"/>
        <v>539790</v>
      </c>
      <c r="R8" s="33"/>
    </row>
    <row r="9" spans="1:26" ht="15.75" customHeight="1" x14ac:dyDescent="0.3">
      <c r="A9" s="39">
        <v>1</v>
      </c>
      <c r="B9" s="27" t="s">
        <v>30</v>
      </c>
      <c r="C9" s="39" t="s">
        <v>31</v>
      </c>
      <c r="D9" s="11">
        <v>1158600</v>
      </c>
      <c r="E9" s="11">
        <v>57930</v>
      </c>
      <c r="F9" s="11">
        <v>92688</v>
      </c>
      <c r="G9" s="11">
        <v>81102.000000000015</v>
      </c>
      <c r="H9" s="11">
        <v>57930</v>
      </c>
      <c r="I9" s="11">
        <v>23172</v>
      </c>
      <c r="J9" s="11">
        <v>46344</v>
      </c>
      <c r="K9" s="11">
        <v>69516</v>
      </c>
      <c r="L9" s="11">
        <v>92688</v>
      </c>
      <c r="M9" s="11">
        <v>115860</v>
      </c>
      <c r="N9" s="11">
        <v>173790</v>
      </c>
      <c r="O9" s="11">
        <v>173790</v>
      </c>
      <c r="P9" s="11">
        <v>173790</v>
      </c>
    </row>
    <row r="10" spans="1:26" ht="15.75" customHeight="1" x14ac:dyDescent="0.3">
      <c r="A10" s="39">
        <v>2</v>
      </c>
      <c r="B10" s="27" t="s">
        <v>36</v>
      </c>
      <c r="C10" s="39" t="s">
        <v>31</v>
      </c>
      <c r="D10" s="11">
        <v>2440000</v>
      </c>
      <c r="E10" s="11">
        <v>122000</v>
      </c>
      <c r="F10" s="11">
        <v>195200</v>
      </c>
      <c r="G10" s="11">
        <v>170800.00000000003</v>
      </c>
      <c r="H10" s="11">
        <v>122000</v>
      </c>
      <c r="I10" s="11">
        <v>48800</v>
      </c>
      <c r="J10" s="11">
        <v>97600</v>
      </c>
      <c r="K10" s="11">
        <v>146400</v>
      </c>
      <c r="L10" s="11">
        <v>195200</v>
      </c>
      <c r="M10" s="11">
        <v>244000</v>
      </c>
      <c r="N10" s="11">
        <v>366000</v>
      </c>
      <c r="O10" s="11">
        <v>366000</v>
      </c>
      <c r="P10" s="11">
        <v>366000</v>
      </c>
    </row>
    <row r="11" spans="1:26" ht="15.75" customHeight="1" x14ac:dyDescent="0.3">
      <c r="A11" s="18" t="s">
        <v>45</v>
      </c>
      <c r="B11" s="19" t="s">
        <v>28</v>
      </c>
      <c r="C11" s="20"/>
      <c r="D11" s="24">
        <f t="shared" ref="D11:P11" si="2">+D12+D18</f>
        <v>951312</v>
      </c>
      <c r="E11" s="24">
        <f t="shared" si="2"/>
        <v>47565.599999999999</v>
      </c>
      <c r="F11" s="24">
        <f t="shared" si="2"/>
        <v>76104.959999999992</v>
      </c>
      <c r="G11" s="24">
        <f t="shared" si="2"/>
        <v>66591.840000000011</v>
      </c>
      <c r="H11" s="24">
        <f t="shared" si="2"/>
        <v>47565.599999999999</v>
      </c>
      <c r="I11" s="24">
        <f t="shared" si="2"/>
        <v>19026.239999999998</v>
      </c>
      <c r="J11" s="24">
        <f t="shared" si="2"/>
        <v>38052.479999999996</v>
      </c>
      <c r="K11" s="24">
        <f t="shared" si="2"/>
        <v>57078.720000000001</v>
      </c>
      <c r="L11" s="24">
        <f t="shared" si="2"/>
        <v>76104.959999999992</v>
      </c>
      <c r="M11" s="24">
        <f t="shared" si="2"/>
        <v>95131.199999999997</v>
      </c>
      <c r="N11" s="24">
        <f t="shared" si="2"/>
        <v>142696.79999999999</v>
      </c>
      <c r="O11" s="24">
        <f t="shared" si="2"/>
        <v>142696.79999999999</v>
      </c>
      <c r="P11" s="24">
        <f t="shared" si="2"/>
        <v>142696.79999999999</v>
      </c>
    </row>
    <row r="12" spans="1:26" ht="15.75" customHeight="1" x14ac:dyDescent="0.3">
      <c r="A12" s="40" t="s">
        <v>33</v>
      </c>
      <c r="B12" s="41" t="s">
        <v>35</v>
      </c>
      <c r="C12" s="26" t="s">
        <v>48</v>
      </c>
      <c r="D12" s="15">
        <f t="shared" ref="D12:P12" si="3">SUBTOTAL(9,D13:D14)</f>
        <v>792760</v>
      </c>
      <c r="E12" s="15">
        <f t="shared" si="3"/>
        <v>39638</v>
      </c>
      <c r="F12" s="15">
        <f t="shared" si="3"/>
        <v>63420.799999999996</v>
      </c>
      <c r="G12" s="15">
        <f t="shared" si="3"/>
        <v>55493.200000000004</v>
      </c>
      <c r="H12" s="15">
        <f t="shared" si="3"/>
        <v>39638</v>
      </c>
      <c r="I12" s="15">
        <f t="shared" si="3"/>
        <v>15855.199999999999</v>
      </c>
      <c r="J12" s="15">
        <f t="shared" si="3"/>
        <v>31710.399999999998</v>
      </c>
      <c r="K12" s="15">
        <f t="shared" si="3"/>
        <v>47565.599999999999</v>
      </c>
      <c r="L12" s="15">
        <f t="shared" si="3"/>
        <v>63420.799999999996</v>
      </c>
      <c r="M12" s="15">
        <f t="shared" si="3"/>
        <v>79276</v>
      </c>
      <c r="N12" s="15">
        <f t="shared" si="3"/>
        <v>118914</v>
      </c>
      <c r="O12" s="15">
        <f t="shared" si="3"/>
        <v>118914</v>
      </c>
      <c r="P12" s="15">
        <f t="shared" si="3"/>
        <v>118914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5.75" customHeight="1" x14ac:dyDescent="0.3">
      <c r="A13" s="26">
        <v>1</v>
      </c>
      <c r="B13" s="27" t="s">
        <v>30</v>
      </c>
      <c r="C13" s="26" t="s">
        <v>48</v>
      </c>
      <c r="D13" s="11">
        <f t="shared" ref="D13:D14" si="4">SUM(E13:P13)</f>
        <v>695160</v>
      </c>
      <c r="E13" s="11">
        <f t="shared" ref="E13:P13" si="5">+E16*E9</f>
        <v>34758</v>
      </c>
      <c r="F13" s="11">
        <f t="shared" si="5"/>
        <v>55612.799999999996</v>
      </c>
      <c r="G13" s="11">
        <f t="shared" si="5"/>
        <v>48661.200000000004</v>
      </c>
      <c r="H13" s="11">
        <f t="shared" si="5"/>
        <v>34758</v>
      </c>
      <c r="I13" s="11">
        <f t="shared" si="5"/>
        <v>13903.199999999999</v>
      </c>
      <c r="J13" s="11">
        <f t="shared" si="5"/>
        <v>27806.399999999998</v>
      </c>
      <c r="K13" s="11">
        <f t="shared" si="5"/>
        <v>41709.599999999999</v>
      </c>
      <c r="L13" s="11">
        <f t="shared" si="5"/>
        <v>55612.799999999996</v>
      </c>
      <c r="M13" s="11">
        <f t="shared" si="5"/>
        <v>69516</v>
      </c>
      <c r="N13" s="11">
        <f t="shared" si="5"/>
        <v>104274</v>
      </c>
      <c r="O13" s="11">
        <f t="shared" si="5"/>
        <v>104274</v>
      </c>
      <c r="P13" s="11">
        <f t="shared" si="5"/>
        <v>104274</v>
      </c>
    </row>
    <row r="14" spans="1:26" ht="15.75" customHeight="1" x14ac:dyDescent="0.3">
      <c r="A14" s="26">
        <v>2</v>
      </c>
      <c r="B14" s="27" t="s">
        <v>36</v>
      </c>
      <c r="C14" s="26" t="s">
        <v>48</v>
      </c>
      <c r="D14" s="11">
        <f t="shared" si="4"/>
        <v>97600</v>
      </c>
      <c r="E14" s="11">
        <f t="shared" ref="E14:P14" si="6">+E17*E10</f>
        <v>4880</v>
      </c>
      <c r="F14" s="11">
        <f t="shared" si="6"/>
        <v>7808</v>
      </c>
      <c r="G14" s="11">
        <f t="shared" si="6"/>
        <v>6832.0000000000009</v>
      </c>
      <c r="H14" s="11">
        <f t="shared" si="6"/>
        <v>4880</v>
      </c>
      <c r="I14" s="11">
        <f t="shared" si="6"/>
        <v>1952</v>
      </c>
      <c r="J14" s="11">
        <f t="shared" si="6"/>
        <v>3904</v>
      </c>
      <c r="K14" s="11">
        <f t="shared" si="6"/>
        <v>5856</v>
      </c>
      <c r="L14" s="11">
        <f t="shared" si="6"/>
        <v>7808</v>
      </c>
      <c r="M14" s="11">
        <f t="shared" si="6"/>
        <v>9760</v>
      </c>
      <c r="N14" s="11">
        <f t="shared" si="6"/>
        <v>14640</v>
      </c>
      <c r="O14" s="11">
        <f t="shared" si="6"/>
        <v>14640</v>
      </c>
      <c r="P14" s="11">
        <f t="shared" si="6"/>
        <v>14640</v>
      </c>
    </row>
    <row r="15" spans="1:26" ht="15.75" customHeight="1" x14ac:dyDescent="0.35">
      <c r="A15" s="44"/>
      <c r="B15" s="45" t="s">
        <v>59</v>
      </c>
      <c r="C15" s="44" t="s">
        <v>48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5.75" customHeight="1" x14ac:dyDescent="0.3">
      <c r="A16" s="47">
        <v>1</v>
      </c>
      <c r="B16" s="27" t="s">
        <v>30</v>
      </c>
      <c r="C16" s="47" t="s">
        <v>48</v>
      </c>
      <c r="D16" s="36">
        <f t="shared" ref="D16:D17" si="7">+D13/D9</f>
        <v>0.6</v>
      </c>
      <c r="E16" s="36">
        <v>0.6</v>
      </c>
      <c r="F16" s="36">
        <v>0.6</v>
      </c>
      <c r="G16" s="36">
        <v>0.6</v>
      </c>
      <c r="H16" s="36">
        <v>0.6</v>
      </c>
      <c r="I16" s="36">
        <v>0.6</v>
      </c>
      <c r="J16" s="36">
        <v>0.6</v>
      </c>
      <c r="K16" s="36">
        <v>0.6</v>
      </c>
      <c r="L16" s="36">
        <v>0.6</v>
      </c>
      <c r="M16" s="36">
        <v>0.6</v>
      </c>
      <c r="N16" s="36">
        <v>0.6</v>
      </c>
      <c r="O16" s="36">
        <v>0.6</v>
      </c>
      <c r="P16" s="36">
        <v>0.6</v>
      </c>
      <c r="Q16" s="48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5.75" customHeight="1" x14ac:dyDescent="0.3">
      <c r="A17" s="47">
        <v>2</v>
      </c>
      <c r="B17" s="27" t="s">
        <v>36</v>
      </c>
      <c r="C17" s="47" t="s">
        <v>48</v>
      </c>
      <c r="D17" s="36">
        <f t="shared" si="7"/>
        <v>0.04</v>
      </c>
      <c r="E17" s="36">
        <v>0.04</v>
      </c>
      <c r="F17" s="36">
        <v>0.04</v>
      </c>
      <c r="G17" s="36">
        <v>0.04</v>
      </c>
      <c r="H17" s="36">
        <v>0.04</v>
      </c>
      <c r="I17" s="36">
        <v>0.04</v>
      </c>
      <c r="J17" s="36">
        <v>0.04</v>
      </c>
      <c r="K17" s="36">
        <v>0.04</v>
      </c>
      <c r="L17" s="36">
        <v>0.04</v>
      </c>
      <c r="M17" s="36">
        <v>0.04</v>
      </c>
      <c r="N17" s="36">
        <v>0.04</v>
      </c>
      <c r="O17" s="36">
        <v>0.04</v>
      </c>
      <c r="P17" s="36">
        <v>0.04</v>
      </c>
      <c r="Q17" s="48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5.75" customHeight="1" x14ac:dyDescent="0.3">
      <c r="A18" s="40" t="s">
        <v>64</v>
      </c>
      <c r="B18" s="41" t="s">
        <v>65</v>
      </c>
      <c r="C18" s="26" t="s">
        <v>48</v>
      </c>
      <c r="D18" s="15">
        <v>158552</v>
      </c>
      <c r="E18" s="15">
        <v>7927.6</v>
      </c>
      <c r="F18" s="15">
        <v>12684.16</v>
      </c>
      <c r="G18" s="15">
        <v>11098.640000000001</v>
      </c>
      <c r="H18" s="15">
        <v>7927.6</v>
      </c>
      <c r="I18" s="15">
        <v>3171.04</v>
      </c>
      <c r="J18" s="15">
        <v>6342.08</v>
      </c>
      <c r="K18" s="15">
        <v>9513.119999999999</v>
      </c>
      <c r="L18" s="15">
        <v>12684.16</v>
      </c>
      <c r="M18" s="15">
        <v>15855.2</v>
      </c>
      <c r="N18" s="15">
        <v>23782.799999999999</v>
      </c>
      <c r="O18" s="15">
        <v>23782.799999999999</v>
      </c>
      <c r="P18" s="15">
        <v>23782.799999999999</v>
      </c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5.75" customHeight="1" x14ac:dyDescent="0.3">
      <c r="A19" s="18" t="s">
        <v>67</v>
      </c>
      <c r="B19" s="19" t="s">
        <v>69</v>
      </c>
      <c r="C19" s="20"/>
      <c r="D19" s="24">
        <f t="shared" ref="D19:P19" si="8">+D20+D26</f>
        <v>785681.11999999988</v>
      </c>
      <c r="E19" s="24">
        <f t="shared" si="8"/>
        <v>39284.055999999997</v>
      </c>
      <c r="F19" s="24">
        <f t="shared" si="8"/>
        <v>62854.489599999994</v>
      </c>
      <c r="G19" s="24">
        <f t="shared" si="8"/>
        <v>54997.678400000004</v>
      </c>
      <c r="H19" s="24">
        <f t="shared" si="8"/>
        <v>39284.055999999997</v>
      </c>
      <c r="I19" s="24">
        <f t="shared" si="8"/>
        <v>15713.622399999998</v>
      </c>
      <c r="J19" s="24">
        <f t="shared" si="8"/>
        <v>31427.244799999997</v>
      </c>
      <c r="K19" s="24">
        <f t="shared" si="8"/>
        <v>47140.867199999993</v>
      </c>
      <c r="L19" s="24">
        <f t="shared" si="8"/>
        <v>62854.489599999994</v>
      </c>
      <c r="M19" s="24">
        <f t="shared" si="8"/>
        <v>78568.111999999994</v>
      </c>
      <c r="N19" s="24">
        <f t="shared" si="8"/>
        <v>117852.16799999999</v>
      </c>
      <c r="O19" s="24">
        <f t="shared" si="8"/>
        <v>117852.16799999999</v>
      </c>
      <c r="P19" s="24">
        <f t="shared" si="8"/>
        <v>117852.16799999999</v>
      </c>
    </row>
    <row r="20" spans="1:26" ht="15.75" customHeight="1" x14ac:dyDescent="0.3">
      <c r="A20" s="40" t="s">
        <v>33</v>
      </c>
      <c r="B20" s="41" t="s">
        <v>72</v>
      </c>
      <c r="C20" s="26" t="s">
        <v>48</v>
      </c>
      <c r="D20" s="15">
        <f t="shared" ref="D20:P20" si="9">SUBTOTAL(9,D21:D22)</f>
        <v>633471.19999999995</v>
      </c>
      <c r="E20" s="15">
        <f t="shared" si="9"/>
        <v>31673.559999999998</v>
      </c>
      <c r="F20" s="15">
        <f t="shared" si="9"/>
        <v>50677.695999999996</v>
      </c>
      <c r="G20" s="15">
        <f t="shared" si="9"/>
        <v>44342.984000000004</v>
      </c>
      <c r="H20" s="15">
        <f t="shared" si="9"/>
        <v>31673.559999999998</v>
      </c>
      <c r="I20" s="15">
        <f t="shared" si="9"/>
        <v>12669.423999999999</v>
      </c>
      <c r="J20" s="15">
        <f t="shared" si="9"/>
        <v>25338.847999999998</v>
      </c>
      <c r="K20" s="15">
        <f t="shared" si="9"/>
        <v>38008.271999999997</v>
      </c>
      <c r="L20" s="15">
        <f t="shared" si="9"/>
        <v>50677.695999999996</v>
      </c>
      <c r="M20" s="15">
        <f t="shared" si="9"/>
        <v>63347.119999999995</v>
      </c>
      <c r="N20" s="15">
        <f t="shared" si="9"/>
        <v>95020.68</v>
      </c>
      <c r="O20" s="15">
        <f t="shared" si="9"/>
        <v>95020.68</v>
      </c>
      <c r="P20" s="15">
        <f t="shared" si="9"/>
        <v>95020.68</v>
      </c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3">
      <c r="A21" s="26">
        <v>1</v>
      </c>
      <c r="B21" s="27" t="s">
        <v>30</v>
      </c>
      <c r="C21" s="26" t="s">
        <v>48</v>
      </c>
      <c r="D21" s="11">
        <f t="shared" ref="D21:D22" si="10">SUM(E21:P21)</f>
        <v>570031.19999999995</v>
      </c>
      <c r="E21" s="11">
        <f t="shared" ref="E21:P21" si="11">E9*E24</f>
        <v>28501.559999999998</v>
      </c>
      <c r="F21" s="11">
        <f t="shared" si="11"/>
        <v>45602.495999999992</v>
      </c>
      <c r="G21" s="11">
        <f t="shared" si="11"/>
        <v>39902.184000000001</v>
      </c>
      <c r="H21" s="11">
        <f t="shared" si="11"/>
        <v>28501.559999999998</v>
      </c>
      <c r="I21" s="11">
        <f t="shared" si="11"/>
        <v>11400.623999999998</v>
      </c>
      <c r="J21" s="11">
        <f t="shared" si="11"/>
        <v>22801.247999999996</v>
      </c>
      <c r="K21" s="11">
        <f t="shared" si="11"/>
        <v>34201.871999999996</v>
      </c>
      <c r="L21" s="11">
        <f t="shared" si="11"/>
        <v>45602.495999999992</v>
      </c>
      <c r="M21" s="11">
        <f t="shared" si="11"/>
        <v>57003.119999999995</v>
      </c>
      <c r="N21" s="11">
        <f t="shared" si="11"/>
        <v>85504.68</v>
      </c>
      <c r="O21" s="11">
        <f t="shared" si="11"/>
        <v>85504.68</v>
      </c>
      <c r="P21" s="11">
        <f t="shared" si="11"/>
        <v>85504.68</v>
      </c>
    </row>
    <row r="22" spans="1:26" ht="15.75" customHeight="1" x14ac:dyDescent="0.3">
      <c r="A22" s="26">
        <v>2</v>
      </c>
      <c r="B22" s="27" t="s">
        <v>36</v>
      </c>
      <c r="C22" s="26" t="s">
        <v>48</v>
      </c>
      <c r="D22" s="11">
        <f t="shared" si="10"/>
        <v>63440.000000000007</v>
      </c>
      <c r="E22" s="11">
        <f t="shared" ref="E22:P22" si="12">E10*E25</f>
        <v>3172.0000000000005</v>
      </c>
      <c r="F22" s="11">
        <f t="shared" si="12"/>
        <v>5075.2000000000007</v>
      </c>
      <c r="G22" s="11">
        <f t="shared" si="12"/>
        <v>4440.8000000000011</v>
      </c>
      <c r="H22" s="11">
        <f t="shared" si="12"/>
        <v>3172.0000000000005</v>
      </c>
      <c r="I22" s="11">
        <f t="shared" si="12"/>
        <v>1268.8000000000002</v>
      </c>
      <c r="J22" s="11">
        <f t="shared" si="12"/>
        <v>2537.6000000000004</v>
      </c>
      <c r="K22" s="11">
        <f t="shared" si="12"/>
        <v>3806.4000000000005</v>
      </c>
      <c r="L22" s="11">
        <f t="shared" si="12"/>
        <v>5075.2000000000007</v>
      </c>
      <c r="M22" s="11">
        <f t="shared" si="12"/>
        <v>6344.0000000000009</v>
      </c>
      <c r="N22" s="11">
        <f t="shared" si="12"/>
        <v>9516</v>
      </c>
      <c r="O22" s="11">
        <f t="shared" si="12"/>
        <v>9516</v>
      </c>
      <c r="P22" s="11">
        <f t="shared" si="12"/>
        <v>9516</v>
      </c>
    </row>
    <row r="23" spans="1:26" ht="15.75" customHeight="1" x14ac:dyDescent="0.35">
      <c r="A23" s="44"/>
      <c r="B23" s="45" t="s">
        <v>84</v>
      </c>
      <c r="C23" s="44" t="s">
        <v>48</v>
      </c>
      <c r="D23" s="32"/>
      <c r="E23" s="36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customHeight="1" x14ac:dyDescent="0.3">
      <c r="A24" s="47">
        <v>1</v>
      </c>
      <c r="B24" s="27" t="s">
        <v>30</v>
      </c>
      <c r="C24" s="47" t="s">
        <v>48</v>
      </c>
      <c r="D24" s="36">
        <f t="shared" ref="D24:D25" si="13">D21/D9</f>
        <v>0.49199999999999994</v>
      </c>
      <c r="E24" s="36">
        <v>0.49199999999999994</v>
      </c>
      <c r="F24" s="36">
        <v>0.49199999999999994</v>
      </c>
      <c r="G24" s="36">
        <v>0.49199999999999994</v>
      </c>
      <c r="H24" s="36">
        <v>0.49199999999999994</v>
      </c>
      <c r="I24" s="36">
        <v>0.49199999999999994</v>
      </c>
      <c r="J24" s="36">
        <v>0.49199999999999994</v>
      </c>
      <c r="K24" s="36">
        <v>0.49199999999999994</v>
      </c>
      <c r="L24" s="36">
        <v>0.49199999999999994</v>
      </c>
      <c r="M24" s="36">
        <v>0.49199999999999994</v>
      </c>
      <c r="N24" s="36">
        <v>0.49199999999999994</v>
      </c>
      <c r="O24" s="36">
        <v>0.49199999999999994</v>
      </c>
      <c r="P24" s="36">
        <v>0.49199999999999994</v>
      </c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customHeight="1" x14ac:dyDescent="0.3">
      <c r="A25" s="47">
        <v>2</v>
      </c>
      <c r="B25" s="27" t="s">
        <v>36</v>
      </c>
      <c r="C25" s="47" t="s">
        <v>48</v>
      </c>
      <c r="D25" s="36">
        <f t="shared" si="13"/>
        <v>2.6000000000000002E-2</v>
      </c>
      <c r="E25" s="36">
        <v>2.6000000000000002E-2</v>
      </c>
      <c r="F25" s="36">
        <v>2.6000000000000002E-2</v>
      </c>
      <c r="G25" s="36">
        <v>2.6000000000000002E-2</v>
      </c>
      <c r="H25" s="36">
        <v>2.6000000000000002E-2</v>
      </c>
      <c r="I25" s="36">
        <v>2.6000000000000002E-2</v>
      </c>
      <c r="J25" s="36">
        <v>2.6000000000000002E-2</v>
      </c>
      <c r="K25" s="36">
        <v>2.6000000000000002E-2</v>
      </c>
      <c r="L25" s="36">
        <v>2.6000000000000002E-2</v>
      </c>
      <c r="M25" s="36">
        <v>2.6000000000000002E-2</v>
      </c>
      <c r="N25" s="36">
        <v>2.6000000000000002E-2</v>
      </c>
      <c r="O25" s="36">
        <v>2.6000000000000002E-2</v>
      </c>
      <c r="P25" s="36">
        <v>2.6000000000000002E-2</v>
      </c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customHeight="1" x14ac:dyDescent="0.3">
      <c r="A26" s="40" t="s">
        <v>64</v>
      </c>
      <c r="B26" s="41" t="s">
        <v>90</v>
      </c>
      <c r="C26" s="26" t="s">
        <v>48</v>
      </c>
      <c r="D26" s="15">
        <f t="shared" ref="D26:D27" si="14">SUM(E26:P26)</f>
        <v>152209.91999999998</v>
      </c>
      <c r="E26" s="15">
        <v>7610.4960000000001</v>
      </c>
      <c r="F26" s="15">
        <v>12176.793599999999</v>
      </c>
      <c r="G26" s="15">
        <v>10654.6944</v>
      </c>
      <c r="H26" s="15">
        <v>7610.4960000000001</v>
      </c>
      <c r="I26" s="15">
        <v>3044.1983999999998</v>
      </c>
      <c r="J26" s="15">
        <v>6088.3967999999995</v>
      </c>
      <c r="K26" s="15">
        <v>9132.5951999999979</v>
      </c>
      <c r="L26" s="15">
        <v>12176.793599999999</v>
      </c>
      <c r="M26" s="15">
        <v>15220.992</v>
      </c>
      <c r="N26" s="15">
        <v>22831.487999999998</v>
      </c>
      <c r="O26" s="15">
        <v>22831.487999999998</v>
      </c>
      <c r="P26" s="15">
        <v>22831.487999999998</v>
      </c>
      <c r="Q26" s="33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3">
      <c r="A27" s="18" t="s">
        <v>93</v>
      </c>
      <c r="B27" s="19" t="s">
        <v>95</v>
      </c>
      <c r="C27" s="20" t="s">
        <v>48</v>
      </c>
      <c r="D27" s="24">
        <f t="shared" si="14"/>
        <v>165630.88</v>
      </c>
      <c r="E27" s="24">
        <f t="shared" ref="E27:P27" si="15">+E11-E19</f>
        <v>8281.5440000000017</v>
      </c>
      <c r="F27" s="24">
        <f t="shared" si="15"/>
        <v>13250.470399999998</v>
      </c>
      <c r="G27" s="24">
        <f t="shared" si="15"/>
        <v>11594.161600000007</v>
      </c>
      <c r="H27" s="24">
        <f t="shared" si="15"/>
        <v>8281.5440000000017</v>
      </c>
      <c r="I27" s="24">
        <f t="shared" si="15"/>
        <v>3312.6175999999996</v>
      </c>
      <c r="J27" s="24">
        <f t="shared" si="15"/>
        <v>6625.2351999999992</v>
      </c>
      <c r="K27" s="24">
        <f t="shared" si="15"/>
        <v>9937.8528000000078</v>
      </c>
      <c r="L27" s="24">
        <f t="shared" si="15"/>
        <v>13250.470399999998</v>
      </c>
      <c r="M27" s="24">
        <f t="shared" si="15"/>
        <v>16563.088000000003</v>
      </c>
      <c r="N27" s="24">
        <f t="shared" si="15"/>
        <v>24844.631999999998</v>
      </c>
      <c r="O27" s="24">
        <f t="shared" si="15"/>
        <v>24844.631999999998</v>
      </c>
      <c r="P27" s="24">
        <f t="shared" si="15"/>
        <v>24844.631999999998</v>
      </c>
    </row>
    <row r="28" spans="1:26" ht="15.75" customHeight="1" x14ac:dyDescent="0.3">
      <c r="A28" s="26"/>
      <c r="B28" s="27" t="s">
        <v>100</v>
      </c>
      <c r="C28" s="26"/>
      <c r="D28" s="54">
        <f t="shared" ref="D28:P28" si="16">IFERROR(D27/D11,0)</f>
        <v>0.17410784264258203</v>
      </c>
      <c r="E28" s="54">
        <f t="shared" si="16"/>
        <v>0.17410784264258208</v>
      </c>
      <c r="F28" s="54">
        <f t="shared" si="16"/>
        <v>0.17410784264258203</v>
      </c>
      <c r="G28" s="54">
        <f t="shared" si="16"/>
        <v>0.17410784264258211</v>
      </c>
      <c r="H28" s="54">
        <f t="shared" si="16"/>
        <v>0.17410784264258208</v>
      </c>
      <c r="I28" s="54">
        <f t="shared" si="16"/>
        <v>0.17410784264258203</v>
      </c>
      <c r="J28" s="54">
        <f t="shared" si="16"/>
        <v>0.17410784264258203</v>
      </c>
      <c r="K28" s="54">
        <f t="shared" si="16"/>
        <v>0.17410784264258217</v>
      </c>
      <c r="L28" s="54">
        <f t="shared" si="16"/>
        <v>0.17410784264258203</v>
      </c>
      <c r="M28" s="54">
        <f t="shared" si="16"/>
        <v>0.17410784264258208</v>
      </c>
      <c r="N28" s="54">
        <f t="shared" si="16"/>
        <v>0.17410784264258203</v>
      </c>
      <c r="O28" s="54">
        <f t="shared" si="16"/>
        <v>0.17410784264258203</v>
      </c>
      <c r="P28" s="54">
        <f t="shared" si="16"/>
        <v>0.17410784264258203</v>
      </c>
    </row>
    <row r="29" spans="1:26" ht="15.75" customHeight="1" x14ac:dyDescent="0.3">
      <c r="A29" s="18" t="s">
        <v>104</v>
      </c>
      <c r="B29" s="19" t="s">
        <v>105</v>
      </c>
      <c r="C29" s="20"/>
      <c r="D29" s="24">
        <f t="shared" ref="D29:D32" si="17">SUM(E29:P29)</f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</row>
    <row r="30" spans="1:26" ht="15.75" customHeight="1" x14ac:dyDescent="0.3">
      <c r="A30" s="18" t="s">
        <v>108</v>
      </c>
      <c r="B30" s="19" t="s">
        <v>109</v>
      </c>
      <c r="C30" s="20" t="s">
        <v>48</v>
      </c>
      <c r="D30" s="24">
        <f t="shared" si="17"/>
        <v>37424.219178082203</v>
      </c>
      <c r="E30" s="24">
        <f t="shared" ref="E30:P30" si="18">510000*7.2%/365*31</f>
        <v>3118.6849315068503</v>
      </c>
      <c r="F30" s="24">
        <f t="shared" si="18"/>
        <v>3118.6849315068503</v>
      </c>
      <c r="G30" s="24">
        <f t="shared" si="18"/>
        <v>3118.6849315068503</v>
      </c>
      <c r="H30" s="24">
        <f t="shared" si="18"/>
        <v>3118.6849315068503</v>
      </c>
      <c r="I30" s="24">
        <f t="shared" si="18"/>
        <v>3118.6849315068503</v>
      </c>
      <c r="J30" s="24">
        <f t="shared" si="18"/>
        <v>3118.6849315068503</v>
      </c>
      <c r="K30" s="24">
        <f t="shared" si="18"/>
        <v>3118.6849315068503</v>
      </c>
      <c r="L30" s="24">
        <f t="shared" si="18"/>
        <v>3118.6849315068503</v>
      </c>
      <c r="M30" s="24">
        <f t="shared" si="18"/>
        <v>3118.6849315068503</v>
      </c>
      <c r="N30" s="24">
        <f t="shared" si="18"/>
        <v>3118.6849315068503</v>
      </c>
      <c r="O30" s="24">
        <f t="shared" si="18"/>
        <v>3118.6849315068503</v>
      </c>
      <c r="P30" s="24">
        <f t="shared" si="18"/>
        <v>3118.6849315068503</v>
      </c>
    </row>
    <row r="31" spans="1:26" ht="15.75" customHeight="1" x14ac:dyDescent="0.3">
      <c r="A31" s="18" t="s">
        <v>115</v>
      </c>
      <c r="B31" s="19" t="s">
        <v>116</v>
      </c>
      <c r="C31" s="20" t="s">
        <v>48</v>
      </c>
      <c r="D31" s="24">
        <f t="shared" si="17"/>
        <v>24780</v>
      </c>
      <c r="E31" s="24">
        <v>2023</v>
      </c>
      <c r="F31" s="24">
        <v>2050</v>
      </c>
      <c r="G31" s="24">
        <v>2021</v>
      </c>
      <c r="H31" s="24">
        <v>2023</v>
      </c>
      <c r="I31" s="24">
        <v>2030</v>
      </c>
      <c r="J31" s="24">
        <v>2001</v>
      </c>
      <c r="K31" s="24">
        <v>2123</v>
      </c>
      <c r="L31" s="24">
        <v>2113</v>
      </c>
      <c r="M31" s="24">
        <v>2050</v>
      </c>
      <c r="N31" s="24">
        <v>2032</v>
      </c>
      <c r="O31" s="24">
        <v>2113</v>
      </c>
      <c r="P31" s="24">
        <v>2201</v>
      </c>
    </row>
    <row r="32" spans="1:26" ht="15.75" customHeight="1" x14ac:dyDescent="0.3">
      <c r="A32" s="18" t="s">
        <v>33</v>
      </c>
      <c r="B32" s="19" t="s">
        <v>120</v>
      </c>
      <c r="C32" s="20" t="s">
        <v>48</v>
      </c>
      <c r="D32" s="24">
        <f t="shared" si="17"/>
        <v>20204.600000000002</v>
      </c>
      <c r="E32" s="24">
        <v>1010.2300000000001</v>
      </c>
      <c r="F32" s="24">
        <v>1616.3680000000002</v>
      </c>
      <c r="G32" s="24">
        <v>1414.3220000000003</v>
      </c>
      <c r="H32" s="24">
        <v>1010.2300000000001</v>
      </c>
      <c r="I32" s="24">
        <v>404.09200000000004</v>
      </c>
      <c r="J32" s="24">
        <v>808.18400000000008</v>
      </c>
      <c r="K32" s="24">
        <v>1212.2760000000001</v>
      </c>
      <c r="L32" s="24">
        <v>1616.3680000000002</v>
      </c>
      <c r="M32" s="24">
        <v>2020.4600000000003</v>
      </c>
      <c r="N32" s="24">
        <v>3030.69</v>
      </c>
      <c r="O32" s="24">
        <v>3030.69</v>
      </c>
      <c r="P32" s="24">
        <v>3030.69</v>
      </c>
    </row>
    <row r="33" spans="1:16" ht="15.75" customHeight="1" x14ac:dyDescent="0.3">
      <c r="A33" s="58" t="s">
        <v>123</v>
      </c>
      <c r="B33" s="59" t="s">
        <v>124</v>
      </c>
      <c r="C33" s="60" t="s">
        <v>48</v>
      </c>
      <c r="D33" s="24">
        <f t="shared" ref="D33:P33" si="19">+D27+D29-D30-D31-D32</f>
        <v>83222.060821917796</v>
      </c>
      <c r="E33" s="24">
        <f t="shared" si="19"/>
        <v>2129.6290684931514</v>
      </c>
      <c r="F33" s="24">
        <f t="shared" si="19"/>
        <v>6465.4174684931477</v>
      </c>
      <c r="G33" s="24">
        <f t="shared" si="19"/>
        <v>5040.1546684931564</v>
      </c>
      <c r="H33" s="24">
        <f t="shared" si="19"/>
        <v>2129.6290684931514</v>
      </c>
      <c r="I33" s="24">
        <f t="shared" si="19"/>
        <v>-2240.1593315068508</v>
      </c>
      <c r="J33" s="24">
        <f t="shared" si="19"/>
        <v>697.36626849314882</v>
      </c>
      <c r="K33" s="24">
        <f t="shared" si="19"/>
        <v>3483.8918684931577</v>
      </c>
      <c r="L33" s="24">
        <f t="shared" si="19"/>
        <v>6402.4174684931477</v>
      </c>
      <c r="M33" s="24">
        <f t="shared" si="19"/>
        <v>9373.9430684931522</v>
      </c>
      <c r="N33" s="24">
        <f t="shared" si="19"/>
        <v>16663.257068493149</v>
      </c>
      <c r="O33" s="24">
        <f t="shared" si="19"/>
        <v>16582.257068493149</v>
      </c>
      <c r="P33" s="24">
        <f t="shared" si="19"/>
        <v>16494.257068493149</v>
      </c>
    </row>
    <row r="34" spans="1:16" ht="15.75" customHeight="1" x14ac:dyDescent="0.3">
      <c r="A34" s="26"/>
      <c r="B34" s="27" t="s">
        <v>130</v>
      </c>
      <c r="C34" s="26" t="s">
        <v>48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ht="15.75" customHeight="1" x14ac:dyDescent="0.3">
      <c r="A35" s="26"/>
      <c r="B35" s="27" t="s">
        <v>133</v>
      </c>
      <c r="C35" s="26" t="s">
        <v>48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ht="15.75" customHeight="1" x14ac:dyDescent="0.3">
      <c r="A36" s="58" t="s">
        <v>136</v>
      </c>
      <c r="B36" s="59" t="s">
        <v>137</v>
      </c>
      <c r="C36" s="60"/>
      <c r="D36" s="24">
        <f>+D34-D35</f>
        <v>0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ht="15.75" customHeight="1" x14ac:dyDescent="0.3">
      <c r="A37" s="64" t="s">
        <v>140</v>
      </c>
      <c r="B37" s="65" t="s">
        <v>142</v>
      </c>
      <c r="C37" s="66" t="s">
        <v>48</v>
      </c>
      <c r="D37" s="67">
        <f t="shared" ref="D37:P37" si="20">+D33+D36</f>
        <v>83222.060821917796</v>
      </c>
      <c r="E37" s="67">
        <f t="shared" si="20"/>
        <v>2129.6290684931514</v>
      </c>
      <c r="F37" s="67">
        <f t="shared" si="20"/>
        <v>6465.4174684931477</v>
      </c>
      <c r="G37" s="67">
        <f t="shared" si="20"/>
        <v>5040.1546684931564</v>
      </c>
      <c r="H37" s="67">
        <f t="shared" si="20"/>
        <v>2129.6290684931514</v>
      </c>
      <c r="I37" s="67">
        <f t="shared" si="20"/>
        <v>-2240.1593315068508</v>
      </c>
      <c r="J37" s="67">
        <f t="shared" si="20"/>
        <v>697.36626849314882</v>
      </c>
      <c r="K37" s="67">
        <f t="shared" si="20"/>
        <v>3483.8918684931577</v>
      </c>
      <c r="L37" s="67">
        <f t="shared" si="20"/>
        <v>6402.4174684931477</v>
      </c>
      <c r="M37" s="67">
        <f t="shared" si="20"/>
        <v>9373.9430684931522</v>
      </c>
      <c r="N37" s="67">
        <f t="shared" si="20"/>
        <v>16663.257068493149</v>
      </c>
      <c r="O37" s="67">
        <f t="shared" si="20"/>
        <v>16582.257068493149</v>
      </c>
      <c r="P37" s="67">
        <f t="shared" si="20"/>
        <v>16494.257068493149</v>
      </c>
    </row>
    <row r="38" spans="1:16" ht="15.75" customHeight="1" x14ac:dyDescent="0.3">
      <c r="A38" s="18"/>
      <c r="B38" s="19" t="s">
        <v>144</v>
      </c>
      <c r="C38" s="20"/>
      <c r="D38" s="24">
        <v>16780</v>
      </c>
      <c r="E38" s="24">
        <v>1398.3333333333333</v>
      </c>
      <c r="F38" s="24">
        <v>1398.3333333333333</v>
      </c>
      <c r="G38" s="24">
        <v>1398.3333333333333</v>
      </c>
      <c r="H38" s="24">
        <v>1398.3333333333333</v>
      </c>
      <c r="I38" s="24">
        <v>1398.3333333333333</v>
      </c>
      <c r="J38" s="24">
        <v>1398.3333333333333</v>
      </c>
      <c r="K38" s="24">
        <v>1398.3333333333333</v>
      </c>
      <c r="L38" s="24">
        <v>1398.3333333333333</v>
      </c>
      <c r="M38" s="24">
        <v>1398.3333333333333</v>
      </c>
      <c r="N38" s="24">
        <v>1398.3333333333333</v>
      </c>
      <c r="O38" s="24">
        <v>1398.3333333333333</v>
      </c>
      <c r="P38" s="24">
        <v>1398.3333333333333</v>
      </c>
    </row>
    <row r="39" spans="1:16" ht="16.5" customHeight="1" x14ac:dyDescent="0.3">
      <c r="A39" s="68"/>
      <c r="B39" s="69" t="s">
        <v>146</v>
      </c>
      <c r="C39" s="70"/>
      <c r="D39" s="71">
        <f t="shared" ref="D39:P39" si="21">D37+D38+D30</f>
        <v>137426.28</v>
      </c>
      <c r="E39" s="71">
        <f t="shared" si="21"/>
        <v>6646.6473333333352</v>
      </c>
      <c r="F39" s="71">
        <f t="shared" si="21"/>
        <v>10982.435733333332</v>
      </c>
      <c r="G39" s="71">
        <f t="shared" si="21"/>
        <v>9557.1729333333387</v>
      </c>
      <c r="H39" s="71">
        <f t="shared" si="21"/>
        <v>6646.6473333333352</v>
      </c>
      <c r="I39" s="71">
        <f t="shared" si="21"/>
        <v>2276.858933333333</v>
      </c>
      <c r="J39" s="71">
        <f t="shared" si="21"/>
        <v>5214.384533333332</v>
      </c>
      <c r="K39" s="71">
        <f t="shared" si="21"/>
        <v>8000.910133333341</v>
      </c>
      <c r="L39" s="71">
        <f t="shared" si="21"/>
        <v>10919.435733333332</v>
      </c>
      <c r="M39" s="71">
        <f t="shared" si="21"/>
        <v>13890.961333333336</v>
      </c>
      <c r="N39" s="71">
        <f t="shared" si="21"/>
        <v>21180.275333333331</v>
      </c>
      <c r="O39" s="71">
        <f t="shared" si="21"/>
        <v>21099.275333333331</v>
      </c>
      <c r="P39" s="71">
        <f t="shared" si="21"/>
        <v>21011.275333333331</v>
      </c>
    </row>
    <row r="40" spans="1:16" ht="16.5" hidden="1" customHeight="1" x14ac:dyDescent="0.3"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</row>
    <row r="41" spans="1:16" ht="16.5" hidden="1" customHeight="1" x14ac:dyDescent="0.3"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</row>
    <row r="42" spans="1:16" ht="14.25" hidden="1" customHeight="1" x14ac:dyDescent="0.3">
      <c r="D42" s="33" t="s">
        <v>149</v>
      </c>
      <c r="E42" s="33">
        <f t="shared" ref="E42:P42" si="22">SUM(E13:E14)</f>
        <v>39638</v>
      </c>
      <c r="F42" s="33">
        <f t="shared" si="22"/>
        <v>63420.799999999996</v>
      </c>
      <c r="G42" s="33">
        <f t="shared" si="22"/>
        <v>55493.200000000004</v>
      </c>
      <c r="H42" s="33">
        <f t="shared" si="22"/>
        <v>39638</v>
      </c>
      <c r="I42" s="33">
        <f t="shared" si="22"/>
        <v>15855.199999999999</v>
      </c>
      <c r="J42" s="33">
        <f t="shared" si="22"/>
        <v>31710.399999999998</v>
      </c>
      <c r="K42" s="33">
        <f t="shared" si="22"/>
        <v>47565.599999999999</v>
      </c>
      <c r="L42" s="33">
        <f t="shared" si="22"/>
        <v>63420.799999999996</v>
      </c>
      <c r="M42" s="33">
        <f t="shared" si="22"/>
        <v>79276</v>
      </c>
      <c r="N42" s="33">
        <f t="shared" si="22"/>
        <v>118914</v>
      </c>
      <c r="O42" s="33">
        <f t="shared" si="22"/>
        <v>118914</v>
      </c>
      <c r="P42" s="33">
        <f t="shared" si="22"/>
        <v>118914</v>
      </c>
    </row>
    <row r="43" spans="1:16" ht="14.25" hidden="1" customHeight="1" x14ac:dyDescent="0.3">
      <c r="D43" s="73" t="s">
        <v>150</v>
      </c>
      <c r="E43" s="33">
        <f t="shared" ref="E43:P43" si="23">SUM(E21:E22)</f>
        <v>31673.559999999998</v>
      </c>
      <c r="F43" s="33">
        <f t="shared" si="23"/>
        <v>50677.695999999996</v>
      </c>
      <c r="G43" s="33">
        <f t="shared" si="23"/>
        <v>44342.984000000004</v>
      </c>
      <c r="H43" s="33">
        <f t="shared" si="23"/>
        <v>31673.559999999998</v>
      </c>
      <c r="I43" s="33">
        <f t="shared" si="23"/>
        <v>12669.423999999999</v>
      </c>
      <c r="J43" s="33">
        <f t="shared" si="23"/>
        <v>25338.847999999998</v>
      </c>
      <c r="K43" s="33">
        <f t="shared" si="23"/>
        <v>38008.271999999997</v>
      </c>
      <c r="L43" s="33">
        <f t="shared" si="23"/>
        <v>50677.695999999996</v>
      </c>
      <c r="M43" s="33">
        <f t="shared" si="23"/>
        <v>63347.119999999995</v>
      </c>
      <c r="N43" s="33">
        <f t="shared" si="23"/>
        <v>95020.68</v>
      </c>
      <c r="O43" s="33">
        <f t="shared" si="23"/>
        <v>95020.68</v>
      </c>
      <c r="P43" s="33">
        <f t="shared" si="23"/>
        <v>95020.68</v>
      </c>
    </row>
    <row r="44" spans="1:16" ht="14.25" hidden="1" customHeight="1" x14ac:dyDescent="0.3">
      <c r="D44" s="73" t="s">
        <v>152</v>
      </c>
      <c r="E44" s="33">
        <f t="shared" ref="E44:P44" si="24">E42-E43</f>
        <v>7964.4400000000023</v>
      </c>
      <c r="F44" s="33">
        <f t="shared" si="24"/>
        <v>12743.103999999999</v>
      </c>
      <c r="G44" s="33">
        <f t="shared" si="24"/>
        <v>11150.216</v>
      </c>
      <c r="H44" s="33">
        <f t="shared" si="24"/>
        <v>7964.4400000000023</v>
      </c>
      <c r="I44" s="33">
        <f t="shared" si="24"/>
        <v>3185.7759999999998</v>
      </c>
      <c r="J44" s="33">
        <f t="shared" si="24"/>
        <v>6371.5519999999997</v>
      </c>
      <c r="K44" s="33">
        <f t="shared" si="24"/>
        <v>9557.3280000000013</v>
      </c>
      <c r="L44" s="33">
        <f t="shared" si="24"/>
        <v>12743.103999999999</v>
      </c>
      <c r="M44" s="33">
        <f t="shared" si="24"/>
        <v>15928.880000000005</v>
      </c>
      <c r="N44" s="33">
        <f t="shared" si="24"/>
        <v>23893.320000000007</v>
      </c>
      <c r="O44" s="33">
        <f t="shared" si="24"/>
        <v>23893.320000000007</v>
      </c>
      <c r="P44" s="33">
        <f t="shared" si="24"/>
        <v>23893.320000000007</v>
      </c>
    </row>
    <row r="45" spans="1:16" ht="14.25" hidden="1" customHeight="1" x14ac:dyDescent="0.3">
      <c r="D45" s="73" t="s">
        <v>153</v>
      </c>
      <c r="E45" s="33">
        <v>-1244.3957100309381</v>
      </c>
      <c r="F45" s="33">
        <v>-1935.4658844828555</v>
      </c>
      <c r="G45" s="33">
        <v>-3959.5547035912386</v>
      </c>
      <c r="H45" s="33">
        <v>-1278.6269167679966</v>
      </c>
      <c r="I45" s="33">
        <v>-3523.2462918223318</v>
      </c>
      <c r="J45" s="33">
        <v>-1068.6955030649915</v>
      </c>
      <c r="K45" s="33">
        <v>-1479.6027884755131</v>
      </c>
      <c r="L45" s="33">
        <v>-1943.9540500180301</v>
      </c>
      <c r="M45" s="33">
        <v>-1459.0087573015735</v>
      </c>
      <c r="N45" s="33">
        <v>-1868.1807337870378</v>
      </c>
      <c r="O45" s="33">
        <v>-2538.1901102192824</v>
      </c>
      <c r="P45" s="33">
        <v>-1885.4767485715311</v>
      </c>
    </row>
    <row r="46" spans="1:16" ht="14.25" hidden="1" customHeight="1" x14ac:dyDescent="0.3">
      <c r="D46" s="73" t="s">
        <v>155</v>
      </c>
      <c r="E46" s="74">
        <f t="shared" ref="E46:P46" si="25">E32/E11</f>
        <v>2.1238668281278912E-2</v>
      </c>
      <c r="F46" s="74">
        <f t="shared" si="25"/>
        <v>2.1238668281278912E-2</v>
      </c>
      <c r="G46" s="74">
        <f t="shared" si="25"/>
        <v>2.1238668281278909E-2</v>
      </c>
      <c r="H46" s="74">
        <f t="shared" si="25"/>
        <v>2.1238668281278912E-2</v>
      </c>
      <c r="I46" s="74">
        <f t="shared" si="25"/>
        <v>2.1238668281278912E-2</v>
      </c>
      <c r="J46" s="74">
        <f t="shared" si="25"/>
        <v>2.1238668281278912E-2</v>
      </c>
      <c r="K46" s="74">
        <f t="shared" si="25"/>
        <v>2.1238668281278909E-2</v>
      </c>
      <c r="L46" s="74">
        <f t="shared" si="25"/>
        <v>2.1238668281278912E-2</v>
      </c>
      <c r="M46" s="74">
        <f t="shared" si="25"/>
        <v>2.1238668281278912E-2</v>
      </c>
      <c r="N46" s="74">
        <f t="shared" si="25"/>
        <v>2.1238668281278909E-2</v>
      </c>
      <c r="O46" s="74">
        <f t="shared" si="25"/>
        <v>2.1238668281278909E-2</v>
      </c>
      <c r="P46" s="74">
        <f t="shared" si="25"/>
        <v>2.1238668281278909E-2</v>
      </c>
    </row>
    <row r="47" spans="1:16" ht="14.25" hidden="1" customHeight="1" x14ac:dyDescent="0.3">
      <c r="D47" s="73" t="s">
        <v>156</v>
      </c>
      <c r="E47" s="74">
        <f t="shared" ref="E47:P47" si="26">E31/E11</f>
        <v>4.2530736498646082E-2</v>
      </c>
      <c r="F47" s="74">
        <f t="shared" si="26"/>
        <v>2.6936483509090607E-2</v>
      </c>
      <c r="G47" s="74">
        <f t="shared" si="26"/>
        <v>3.0349063789196988E-2</v>
      </c>
      <c r="H47" s="74">
        <f t="shared" si="26"/>
        <v>4.2530736498646082E-2</v>
      </c>
      <c r="I47" s="74">
        <f t="shared" si="26"/>
        <v>0.10669475419210524</v>
      </c>
      <c r="J47" s="74">
        <f t="shared" si="26"/>
        <v>5.2585271708966153E-2</v>
      </c>
      <c r="K47" s="74">
        <f t="shared" si="26"/>
        <v>3.7194246822633725E-2</v>
      </c>
      <c r="L47" s="74">
        <f t="shared" si="26"/>
        <v>2.7764287636443147E-2</v>
      </c>
      <c r="M47" s="74">
        <f t="shared" si="26"/>
        <v>2.1549186807272483E-2</v>
      </c>
      <c r="N47" s="74">
        <f t="shared" si="26"/>
        <v>1.4239982956870793E-2</v>
      </c>
      <c r="O47" s="74">
        <f t="shared" si="26"/>
        <v>1.4807620072769678E-2</v>
      </c>
      <c r="P47" s="74">
        <f t="shared" si="26"/>
        <v>1.5424312248067232E-2</v>
      </c>
    </row>
    <row r="48" spans="1:16" ht="14.25" hidden="1" customHeight="1" x14ac:dyDescent="0.3"/>
    <row r="49" spans="4:16" ht="14.25" hidden="1" customHeight="1" x14ac:dyDescent="0.3"/>
    <row r="50" spans="4:16" ht="14.25" hidden="1" customHeight="1" x14ac:dyDescent="0.3">
      <c r="D50" s="33">
        <f>D19-D38</f>
        <v>768901.11999999988</v>
      </c>
    </row>
    <row r="51" spans="4:16" ht="14.25" hidden="1" customHeight="1" x14ac:dyDescent="0.3">
      <c r="D51" s="73">
        <f>D50/D19</f>
        <v>0.97864273485405884</v>
      </c>
    </row>
    <row r="52" spans="4:16" ht="14.25" hidden="1" customHeight="1" x14ac:dyDescent="0.3">
      <c r="D52" s="77">
        <f>(D31+D32)/D19*100</f>
        <v>5.7255544081293452</v>
      </c>
    </row>
    <row r="53" spans="4:16" ht="14.25" hidden="1" customHeight="1" x14ac:dyDescent="0.3"/>
    <row r="54" spans="4:16" ht="14.25" hidden="1" customHeight="1" x14ac:dyDescent="0.3"/>
    <row r="55" spans="4:16" ht="14.25" hidden="1" customHeight="1" x14ac:dyDescent="0.3"/>
    <row r="56" spans="4:16" ht="14.25" hidden="1" customHeight="1" x14ac:dyDescent="0.3"/>
    <row r="57" spans="4:16" ht="23.25" customHeight="1" x14ac:dyDescent="0.4">
      <c r="D57" s="5"/>
      <c r="E57" s="5"/>
      <c r="F57" s="5"/>
      <c r="G57" s="5"/>
      <c r="H57" s="5"/>
      <c r="I57" s="5"/>
      <c r="J57" s="5"/>
      <c r="K57" s="149" t="s">
        <v>160</v>
      </c>
      <c r="L57" s="146"/>
      <c r="M57" s="146"/>
      <c r="N57" s="146"/>
    </row>
    <row r="58" spans="4:16" ht="14.25" customHeight="1" x14ac:dyDescent="0.3"/>
    <row r="59" spans="4:16" ht="14.25" customHeight="1" x14ac:dyDescent="0.3">
      <c r="D59" s="33"/>
    </row>
    <row r="60" spans="4:16" ht="14.25" customHeight="1" x14ac:dyDescent="0.3">
      <c r="O60" s="33"/>
    </row>
    <row r="61" spans="4:16" ht="14.25" customHeight="1" x14ac:dyDescent="0.3">
      <c r="D61" s="33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4:16" ht="14.25" customHeight="1" x14ac:dyDescent="0.3"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4:16" ht="14.25" customHeight="1" x14ac:dyDescent="0.3"/>
    <row r="64" spans="4:16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Q39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4">
    <mergeCell ref="A1:P1"/>
    <mergeCell ref="A2:P2"/>
    <mergeCell ref="Q3:Q4"/>
    <mergeCell ref="K57:N5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8" customWidth="1"/>
    <col min="2" max="2" width="36.6640625" customWidth="1"/>
    <col min="3" max="3" width="10.6640625" customWidth="1"/>
    <col min="4" max="4" width="17.33203125" customWidth="1"/>
    <col min="5" max="6" width="14.6640625" customWidth="1"/>
    <col min="7" max="7" width="12.88671875" customWidth="1"/>
    <col min="8" max="13" width="12.6640625" customWidth="1"/>
    <col min="14" max="15" width="13.88671875" customWidth="1"/>
    <col min="16" max="16" width="12.88671875" customWidth="1"/>
    <col min="17" max="17" width="10" hidden="1" customWidth="1"/>
    <col min="18" max="26" width="8" customWidth="1"/>
  </cols>
  <sheetData>
    <row r="1" spans="1:26" ht="21" customHeight="1" x14ac:dyDescent="0.4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spans="1:26" ht="21" customHeight="1" x14ac:dyDescent="0.4">
      <c r="A2" s="145" t="s">
        <v>3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1:26" ht="15" customHeight="1" x14ac:dyDescent="0.3">
      <c r="D3" s="5">
        <f>SUM(E3:P3)</f>
        <v>1</v>
      </c>
      <c r="E3" s="5">
        <v>0.05</v>
      </c>
      <c r="F3" s="5">
        <v>0.08</v>
      </c>
      <c r="G3" s="5">
        <v>7.0000000000000007E-2</v>
      </c>
      <c r="H3" s="5">
        <v>0.05</v>
      </c>
      <c r="I3" s="5">
        <v>0.02</v>
      </c>
      <c r="J3" s="5">
        <v>0.04</v>
      </c>
      <c r="K3" s="5">
        <v>0.06</v>
      </c>
      <c r="L3" s="5">
        <v>0.08</v>
      </c>
      <c r="M3" s="5">
        <v>0.1</v>
      </c>
      <c r="N3" s="5">
        <v>0.15</v>
      </c>
      <c r="O3" s="5">
        <v>0.15</v>
      </c>
      <c r="P3" s="5">
        <v>0.15</v>
      </c>
      <c r="Q3" s="147" t="s">
        <v>17</v>
      </c>
    </row>
    <row r="4" spans="1:26" ht="18" customHeight="1" x14ac:dyDescent="0.3">
      <c r="A4" s="12" t="s">
        <v>18</v>
      </c>
      <c r="B4" s="12" t="s">
        <v>19</v>
      </c>
      <c r="C4" s="13" t="s">
        <v>20</v>
      </c>
      <c r="D4" s="16" t="s">
        <v>2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48"/>
    </row>
    <row r="5" spans="1:26" ht="15.75" customHeight="1" x14ac:dyDescent="0.3">
      <c r="A5" s="18" t="s">
        <v>24</v>
      </c>
      <c r="B5" s="19" t="s">
        <v>25</v>
      </c>
      <c r="C5" s="20" t="s">
        <v>26</v>
      </c>
      <c r="D5" s="24">
        <f t="shared" ref="D5:P5" si="0">SUBTOTAL(9,D6:D7)</f>
        <v>4478624.6399999997</v>
      </c>
      <c r="E5" s="24">
        <f t="shared" si="0"/>
        <v>558432</v>
      </c>
      <c r="F5" s="24">
        <f t="shared" si="0"/>
        <v>223372.80000000002</v>
      </c>
      <c r="G5" s="24">
        <f t="shared" si="0"/>
        <v>134023.68000000002</v>
      </c>
      <c r="H5" s="24">
        <f t="shared" si="0"/>
        <v>156360.95999999999</v>
      </c>
      <c r="I5" s="24">
        <f t="shared" si="0"/>
        <v>446745.60000000003</v>
      </c>
      <c r="J5" s="24">
        <f t="shared" si="0"/>
        <v>390902.39999999997</v>
      </c>
      <c r="K5" s="24">
        <f t="shared" si="0"/>
        <v>390902.39999999997</v>
      </c>
      <c r="L5" s="24">
        <f t="shared" si="0"/>
        <v>335059.19999999995</v>
      </c>
      <c r="M5" s="24">
        <f t="shared" si="0"/>
        <v>390902.39999999997</v>
      </c>
      <c r="N5" s="24">
        <f t="shared" si="0"/>
        <v>446745.60000000003</v>
      </c>
      <c r="O5" s="24">
        <f t="shared" si="0"/>
        <v>446745.60000000003</v>
      </c>
      <c r="P5" s="24">
        <f t="shared" si="0"/>
        <v>558432</v>
      </c>
      <c r="Q5" s="25">
        <v>0.05</v>
      </c>
    </row>
    <row r="6" spans="1:26" ht="15.75" customHeight="1" x14ac:dyDescent="0.3">
      <c r="A6" s="26">
        <v>1</v>
      </c>
      <c r="B6" s="27" t="s">
        <v>30</v>
      </c>
      <c r="C6" s="26" t="s">
        <v>31</v>
      </c>
      <c r="D6" s="11">
        <f t="shared" ref="D6:D7" si="1">SUM(E6:P6)</f>
        <v>1492874.88</v>
      </c>
      <c r="E6" s="11">
        <v>186144</v>
      </c>
      <c r="F6" s="11">
        <f>E6*40%</f>
        <v>74457.600000000006</v>
      </c>
      <c r="G6" s="11">
        <f>F6*60%</f>
        <v>44674.560000000005</v>
      </c>
      <c r="H6" s="11">
        <f>F6*70%</f>
        <v>52120.32</v>
      </c>
      <c r="I6" s="11">
        <f>E6*80%</f>
        <v>148915.20000000001</v>
      </c>
      <c r="J6" s="11">
        <f>E6*70%</f>
        <v>130300.79999999999</v>
      </c>
      <c r="K6" s="11">
        <f>E6*70%</f>
        <v>130300.79999999999</v>
      </c>
      <c r="L6" s="11">
        <f>E6*60%</f>
        <v>111686.39999999999</v>
      </c>
      <c r="M6" s="11">
        <f>E6*70%</f>
        <v>130300.79999999999</v>
      </c>
      <c r="N6" s="11">
        <f>E6*80%</f>
        <v>148915.20000000001</v>
      </c>
      <c r="O6" s="11">
        <f>E6*80%</f>
        <v>148915.20000000001</v>
      </c>
      <c r="P6" s="11">
        <f>E6</f>
        <v>186144</v>
      </c>
      <c r="Q6" s="33">
        <v>120</v>
      </c>
    </row>
    <row r="7" spans="1:26" ht="15.75" customHeight="1" x14ac:dyDescent="0.3">
      <c r="A7" s="26">
        <v>2</v>
      </c>
      <c r="B7" s="27" t="s">
        <v>36</v>
      </c>
      <c r="C7" s="26" t="s">
        <v>31</v>
      </c>
      <c r="D7" s="11">
        <f t="shared" si="1"/>
        <v>2985749.76</v>
      </c>
      <c r="E7" s="11">
        <f t="shared" ref="E7:P7" si="2">E6*2</f>
        <v>372288</v>
      </c>
      <c r="F7" s="11">
        <f t="shared" si="2"/>
        <v>148915.20000000001</v>
      </c>
      <c r="G7" s="11">
        <f t="shared" si="2"/>
        <v>89349.12000000001</v>
      </c>
      <c r="H7" s="11">
        <f t="shared" si="2"/>
        <v>104240.64</v>
      </c>
      <c r="I7" s="11">
        <f t="shared" si="2"/>
        <v>297830.40000000002</v>
      </c>
      <c r="J7" s="11">
        <f t="shared" si="2"/>
        <v>260601.59999999998</v>
      </c>
      <c r="K7" s="11">
        <f t="shared" si="2"/>
        <v>260601.59999999998</v>
      </c>
      <c r="L7" s="11">
        <f t="shared" si="2"/>
        <v>223372.79999999999</v>
      </c>
      <c r="M7" s="11">
        <f t="shared" si="2"/>
        <v>260601.59999999998</v>
      </c>
      <c r="N7" s="11">
        <f t="shared" si="2"/>
        <v>297830.40000000002</v>
      </c>
      <c r="O7" s="11">
        <f t="shared" si="2"/>
        <v>297830.40000000002</v>
      </c>
      <c r="P7" s="11">
        <f t="shared" si="2"/>
        <v>372288</v>
      </c>
      <c r="Q7" s="11" t="e">
        <f>$D$7*Q3</f>
        <v>#VALUE!</v>
      </c>
    </row>
    <row r="8" spans="1:26" ht="15.75" customHeight="1" x14ac:dyDescent="0.3">
      <c r="A8" s="18" t="s">
        <v>38</v>
      </c>
      <c r="B8" s="19" t="s">
        <v>39</v>
      </c>
      <c r="C8" s="20" t="s">
        <v>26</v>
      </c>
      <c r="D8" s="24">
        <f t="shared" ref="D8:P8" si="3">SUBTOTAL(9,D9:D10)</f>
        <v>10211282.879999999</v>
      </c>
      <c r="E8" s="24">
        <f t="shared" si="3"/>
        <v>1154856</v>
      </c>
      <c r="F8" s="24">
        <f t="shared" si="3"/>
        <v>461942.4</v>
      </c>
      <c r="G8" s="24">
        <f t="shared" si="3"/>
        <v>819644.16000000015</v>
      </c>
      <c r="H8" s="24">
        <f t="shared" si="3"/>
        <v>730218.71999999986</v>
      </c>
      <c r="I8" s="24">
        <f t="shared" si="3"/>
        <v>923884.8</v>
      </c>
      <c r="J8" s="24">
        <f t="shared" si="3"/>
        <v>808399.2</v>
      </c>
      <c r="K8" s="24">
        <f t="shared" si="3"/>
        <v>808399.2</v>
      </c>
      <c r="L8" s="24">
        <f t="shared" si="3"/>
        <v>692913.6</v>
      </c>
      <c r="M8" s="24">
        <f t="shared" si="3"/>
        <v>808399.2</v>
      </c>
      <c r="N8" s="24">
        <f t="shared" si="3"/>
        <v>923884.8</v>
      </c>
      <c r="O8" s="24">
        <f t="shared" si="3"/>
        <v>923884.8</v>
      </c>
      <c r="P8" s="24">
        <f t="shared" si="3"/>
        <v>1154856</v>
      </c>
      <c r="R8" s="33"/>
    </row>
    <row r="9" spans="1:26" ht="15.75" customHeight="1" x14ac:dyDescent="0.3">
      <c r="A9" s="39">
        <v>1</v>
      </c>
      <c r="B9" s="27" t="s">
        <v>30</v>
      </c>
      <c r="C9" s="39" t="s">
        <v>31</v>
      </c>
      <c r="D9" s="11">
        <f t="shared" ref="D9:D10" si="4">SUM(E9:P9)</f>
        <v>1492874.88</v>
      </c>
      <c r="E9" s="11">
        <f t="shared" ref="E9:P9" si="5">E6</f>
        <v>186144</v>
      </c>
      <c r="F9" s="11">
        <f t="shared" si="5"/>
        <v>74457.600000000006</v>
      </c>
      <c r="G9" s="11">
        <f t="shared" si="5"/>
        <v>44674.560000000005</v>
      </c>
      <c r="H9" s="11">
        <f t="shared" si="5"/>
        <v>52120.32</v>
      </c>
      <c r="I9" s="11">
        <f t="shared" si="5"/>
        <v>148915.20000000001</v>
      </c>
      <c r="J9" s="11">
        <f t="shared" si="5"/>
        <v>130300.79999999999</v>
      </c>
      <c r="K9" s="11">
        <f t="shared" si="5"/>
        <v>130300.79999999999</v>
      </c>
      <c r="L9" s="11">
        <f t="shared" si="5"/>
        <v>111686.39999999999</v>
      </c>
      <c r="M9" s="11">
        <f t="shared" si="5"/>
        <v>130300.79999999999</v>
      </c>
      <c r="N9" s="11">
        <f t="shared" si="5"/>
        <v>148915.20000000001</v>
      </c>
      <c r="O9" s="11">
        <f t="shared" si="5"/>
        <v>148915.20000000001</v>
      </c>
      <c r="P9" s="11">
        <f t="shared" si="5"/>
        <v>186144</v>
      </c>
    </row>
    <row r="10" spans="1:26" ht="15.75" customHeight="1" x14ac:dyDescent="0.3">
      <c r="A10" s="39">
        <v>2</v>
      </c>
      <c r="B10" s="27" t="s">
        <v>36</v>
      </c>
      <c r="C10" s="39" t="s">
        <v>31</v>
      </c>
      <c r="D10" s="11">
        <f t="shared" si="4"/>
        <v>8718408</v>
      </c>
      <c r="E10" s="11">
        <f>1341000-E7</f>
        <v>968712</v>
      </c>
      <c r="F10" s="11">
        <f>E10*0.4</f>
        <v>387484.80000000005</v>
      </c>
      <c r="G10" s="11">
        <f>E10*0.8</f>
        <v>774969.60000000009</v>
      </c>
      <c r="H10" s="11">
        <f>E10*70%</f>
        <v>678098.39999999991</v>
      </c>
      <c r="I10" s="11">
        <f>E10*80%</f>
        <v>774969.60000000009</v>
      </c>
      <c r="J10" s="11">
        <f>E10*70%</f>
        <v>678098.39999999991</v>
      </c>
      <c r="K10" s="11">
        <f>E10*70%</f>
        <v>678098.39999999991</v>
      </c>
      <c r="L10" s="11">
        <f>E10*60%</f>
        <v>581227.19999999995</v>
      </c>
      <c r="M10" s="11">
        <f>E10*70%</f>
        <v>678098.39999999991</v>
      </c>
      <c r="N10" s="11">
        <f>E10*80%</f>
        <v>774969.60000000009</v>
      </c>
      <c r="O10" s="11">
        <f>E10*80%</f>
        <v>774969.60000000009</v>
      </c>
      <c r="P10" s="11">
        <f>E10</f>
        <v>968712</v>
      </c>
    </row>
    <row r="11" spans="1:26" ht="15.75" customHeight="1" x14ac:dyDescent="0.3">
      <c r="A11" s="18" t="s">
        <v>45</v>
      </c>
      <c r="B11" s="19" t="s">
        <v>28</v>
      </c>
      <c r="C11" s="20"/>
      <c r="D11" s="24">
        <f t="shared" ref="D11:P11" si="6">+D12+D18</f>
        <v>1476155.0553600001</v>
      </c>
      <c r="E11" s="24">
        <f t="shared" si="6"/>
        <v>181691.80800000002</v>
      </c>
      <c r="F11" s="24">
        <f t="shared" si="6"/>
        <v>72676.723200000008</v>
      </c>
      <c r="G11" s="24">
        <f t="shared" si="6"/>
        <v>54455.608319999999</v>
      </c>
      <c r="H11" s="24">
        <f t="shared" si="6"/>
        <v>59010.887040000001</v>
      </c>
      <c r="I11" s="24">
        <f t="shared" si="6"/>
        <v>145353.44640000002</v>
      </c>
      <c r="J11" s="24">
        <f t="shared" si="6"/>
        <v>127184.26559999998</v>
      </c>
      <c r="K11" s="24">
        <f t="shared" si="6"/>
        <v>127184.26559999998</v>
      </c>
      <c r="L11" s="24">
        <f t="shared" si="6"/>
        <v>109015.08479999998</v>
      </c>
      <c r="M11" s="24">
        <f t="shared" si="6"/>
        <v>127184.26559999998</v>
      </c>
      <c r="N11" s="24">
        <f t="shared" si="6"/>
        <v>145353.44640000002</v>
      </c>
      <c r="O11" s="24">
        <f t="shared" si="6"/>
        <v>145353.44640000002</v>
      </c>
      <c r="P11" s="24">
        <f t="shared" si="6"/>
        <v>181691.80800000002</v>
      </c>
    </row>
    <row r="12" spans="1:26" ht="15.75" customHeight="1" x14ac:dyDescent="0.3">
      <c r="A12" s="40" t="s">
        <v>33</v>
      </c>
      <c r="B12" s="41" t="s">
        <v>35</v>
      </c>
      <c r="C12" s="26" t="s">
        <v>48</v>
      </c>
      <c r="D12" s="15">
        <f t="shared" ref="D12:P12" si="7">SUBTOTAL(9,D13:D14)</f>
        <v>1015154.9184</v>
      </c>
      <c r="E12" s="15">
        <f t="shared" si="7"/>
        <v>126577.92</v>
      </c>
      <c r="F12" s="15">
        <f t="shared" si="7"/>
        <v>50631.168000000005</v>
      </c>
      <c r="G12" s="15">
        <f t="shared" si="7"/>
        <v>30378.700800000002</v>
      </c>
      <c r="H12" s="15">
        <f t="shared" si="7"/>
        <v>35441.817600000002</v>
      </c>
      <c r="I12" s="15">
        <f t="shared" si="7"/>
        <v>101262.33600000001</v>
      </c>
      <c r="J12" s="15">
        <f t="shared" si="7"/>
        <v>88604.543999999994</v>
      </c>
      <c r="K12" s="15">
        <f t="shared" si="7"/>
        <v>88604.543999999994</v>
      </c>
      <c r="L12" s="15">
        <f t="shared" si="7"/>
        <v>75946.751999999993</v>
      </c>
      <c r="M12" s="15">
        <f t="shared" si="7"/>
        <v>88604.543999999994</v>
      </c>
      <c r="N12" s="15">
        <f t="shared" si="7"/>
        <v>101262.33600000001</v>
      </c>
      <c r="O12" s="15">
        <f t="shared" si="7"/>
        <v>101262.33600000001</v>
      </c>
      <c r="P12" s="15">
        <f t="shared" si="7"/>
        <v>126577.92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5.75" customHeight="1" x14ac:dyDescent="0.3">
      <c r="A13" s="26">
        <v>1</v>
      </c>
      <c r="B13" s="27" t="s">
        <v>30</v>
      </c>
      <c r="C13" s="26" t="s">
        <v>48</v>
      </c>
      <c r="D13" s="11">
        <f t="shared" ref="D13:D14" si="8">SUM(E13:P13)</f>
        <v>895724.92799999996</v>
      </c>
      <c r="E13" s="11">
        <f t="shared" ref="E13:P13" si="9">+E16*E6</f>
        <v>111686.39999999999</v>
      </c>
      <c r="F13" s="11">
        <f t="shared" si="9"/>
        <v>44674.560000000005</v>
      </c>
      <c r="G13" s="11">
        <f t="shared" si="9"/>
        <v>26804.736000000001</v>
      </c>
      <c r="H13" s="11">
        <f t="shared" si="9"/>
        <v>31272.191999999999</v>
      </c>
      <c r="I13" s="11">
        <f t="shared" si="9"/>
        <v>89349.12000000001</v>
      </c>
      <c r="J13" s="11">
        <f t="shared" si="9"/>
        <v>78180.479999999996</v>
      </c>
      <c r="K13" s="11">
        <f t="shared" si="9"/>
        <v>78180.479999999996</v>
      </c>
      <c r="L13" s="11">
        <f t="shared" si="9"/>
        <v>67011.839999999997</v>
      </c>
      <c r="M13" s="11">
        <f t="shared" si="9"/>
        <v>78180.479999999996</v>
      </c>
      <c r="N13" s="11">
        <f t="shared" si="9"/>
        <v>89349.12000000001</v>
      </c>
      <c r="O13" s="11">
        <f t="shared" si="9"/>
        <v>89349.12000000001</v>
      </c>
      <c r="P13" s="11">
        <f t="shared" si="9"/>
        <v>111686.39999999999</v>
      </c>
    </row>
    <row r="14" spans="1:26" ht="15.75" customHeight="1" x14ac:dyDescent="0.3">
      <c r="A14" s="26">
        <v>2</v>
      </c>
      <c r="B14" s="27" t="s">
        <v>36</v>
      </c>
      <c r="C14" s="26" t="s">
        <v>48</v>
      </c>
      <c r="D14" s="11">
        <f t="shared" si="8"/>
        <v>119429.9904</v>
      </c>
      <c r="E14" s="11">
        <f t="shared" ref="E14:P14" si="10">E7*E17</f>
        <v>14891.52</v>
      </c>
      <c r="F14" s="11">
        <f t="shared" si="10"/>
        <v>5956.6080000000002</v>
      </c>
      <c r="G14" s="11">
        <f t="shared" si="10"/>
        <v>3573.9648000000007</v>
      </c>
      <c r="H14" s="11">
        <f t="shared" si="10"/>
        <v>4169.6256000000003</v>
      </c>
      <c r="I14" s="11">
        <f t="shared" si="10"/>
        <v>11913.216</v>
      </c>
      <c r="J14" s="11">
        <f t="shared" si="10"/>
        <v>10424.063999999998</v>
      </c>
      <c r="K14" s="11">
        <f t="shared" si="10"/>
        <v>10424.063999999998</v>
      </c>
      <c r="L14" s="11">
        <f t="shared" si="10"/>
        <v>8934.9120000000003</v>
      </c>
      <c r="M14" s="11">
        <f t="shared" si="10"/>
        <v>10424.063999999998</v>
      </c>
      <c r="N14" s="11">
        <f t="shared" si="10"/>
        <v>11913.216</v>
      </c>
      <c r="O14" s="11">
        <f t="shared" si="10"/>
        <v>11913.216</v>
      </c>
      <c r="P14" s="11">
        <f t="shared" si="10"/>
        <v>14891.52</v>
      </c>
    </row>
    <row r="15" spans="1:26" ht="15.75" customHeight="1" x14ac:dyDescent="0.35">
      <c r="A15" s="44"/>
      <c r="B15" s="45" t="s">
        <v>59</v>
      </c>
      <c r="C15" s="44" t="s">
        <v>48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5.75" customHeight="1" x14ac:dyDescent="0.3">
      <c r="A16" s="47">
        <v>1</v>
      </c>
      <c r="B16" s="27" t="s">
        <v>30</v>
      </c>
      <c r="C16" s="47" t="s">
        <v>48</v>
      </c>
      <c r="D16" s="36">
        <f t="shared" ref="D16:D17" si="11">+D13/D9</f>
        <v>0.6</v>
      </c>
      <c r="E16" s="36">
        <v>0.6</v>
      </c>
      <c r="F16" s="36">
        <v>0.6</v>
      </c>
      <c r="G16" s="36">
        <v>0.6</v>
      </c>
      <c r="H16" s="36">
        <v>0.6</v>
      </c>
      <c r="I16" s="36">
        <v>0.6</v>
      </c>
      <c r="J16" s="36">
        <v>0.6</v>
      </c>
      <c r="K16" s="36">
        <v>0.6</v>
      </c>
      <c r="L16" s="36">
        <v>0.6</v>
      </c>
      <c r="M16" s="36">
        <v>0.6</v>
      </c>
      <c r="N16" s="36">
        <v>0.6</v>
      </c>
      <c r="O16" s="36">
        <v>0.6</v>
      </c>
      <c r="P16" s="36">
        <v>0.6</v>
      </c>
      <c r="Q16" s="48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5.75" customHeight="1" x14ac:dyDescent="0.3">
      <c r="A17" s="47">
        <v>2</v>
      </c>
      <c r="B17" s="27" t="s">
        <v>36</v>
      </c>
      <c r="C17" s="47" t="s">
        <v>48</v>
      </c>
      <c r="D17" s="36">
        <f t="shared" si="11"/>
        <v>1.3698600753715586E-2</v>
      </c>
      <c r="E17" s="36">
        <v>0.04</v>
      </c>
      <c r="F17" s="36">
        <v>0.04</v>
      </c>
      <c r="G17" s="36">
        <v>0.04</v>
      </c>
      <c r="H17" s="36">
        <v>0.04</v>
      </c>
      <c r="I17" s="36">
        <v>0.04</v>
      </c>
      <c r="J17" s="36">
        <v>0.04</v>
      </c>
      <c r="K17" s="36">
        <v>0.04</v>
      </c>
      <c r="L17" s="36">
        <v>0.04</v>
      </c>
      <c r="M17" s="36">
        <v>0.04</v>
      </c>
      <c r="N17" s="36">
        <v>0.04</v>
      </c>
      <c r="O17" s="36">
        <v>0.04</v>
      </c>
      <c r="P17" s="36">
        <v>0.04</v>
      </c>
      <c r="Q17" s="48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5.75" customHeight="1" x14ac:dyDescent="0.3">
      <c r="A18" s="40" t="s">
        <v>64</v>
      </c>
      <c r="B18" s="41" t="s">
        <v>65</v>
      </c>
      <c r="C18" s="26" t="s">
        <v>48</v>
      </c>
      <c r="D18" s="15">
        <f>SUM(E18:P18)</f>
        <v>461000.13696000003</v>
      </c>
      <c r="E18" s="15">
        <f t="shared" ref="E18:P18" si="12">E9*E20+E10*E21</f>
        <v>55113.888000000006</v>
      </c>
      <c r="F18" s="15">
        <f t="shared" si="12"/>
        <v>22045.555200000003</v>
      </c>
      <c r="G18" s="15">
        <f t="shared" si="12"/>
        <v>24076.907520000001</v>
      </c>
      <c r="H18" s="15">
        <f t="shared" si="12"/>
        <v>23569.069439999999</v>
      </c>
      <c r="I18" s="15">
        <f t="shared" si="12"/>
        <v>44091.110400000005</v>
      </c>
      <c r="J18" s="15">
        <f t="shared" si="12"/>
        <v>38579.721599999997</v>
      </c>
      <c r="K18" s="15">
        <f t="shared" si="12"/>
        <v>38579.721599999997</v>
      </c>
      <c r="L18" s="15">
        <f t="shared" si="12"/>
        <v>33068.332799999996</v>
      </c>
      <c r="M18" s="15">
        <f t="shared" si="12"/>
        <v>38579.721599999997</v>
      </c>
      <c r="N18" s="15">
        <f t="shared" si="12"/>
        <v>44091.110400000005</v>
      </c>
      <c r="O18" s="15">
        <f t="shared" si="12"/>
        <v>44091.110400000005</v>
      </c>
      <c r="P18" s="15">
        <f t="shared" si="12"/>
        <v>55113.888000000006</v>
      </c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5.75" customHeight="1" x14ac:dyDescent="0.35">
      <c r="A19" s="40"/>
      <c r="B19" s="45" t="s">
        <v>76</v>
      </c>
      <c r="C19" s="26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5.75" customHeight="1" x14ac:dyDescent="0.3">
      <c r="A20" s="47">
        <v>1</v>
      </c>
      <c r="B20" s="50" t="s">
        <v>30</v>
      </c>
      <c r="C20" s="47" t="s">
        <v>48</v>
      </c>
      <c r="D20" s="51"/>
      <c r="E20" s="52">
        <v>0.192</v>
      </c>
      <c r="F20" s="52">
        <v>0.192</v>
      </c>
      <c r="G20" s="52">
        <v>0.192</v>
      </c>
      <c r="H20" s="52">
        <v>0.192</v>
      </c>
      <c r="I20" s="52">
        <v>0.192</v>
      </c>
      <c r="J20" s="52">
        <v>0.192</v>
      </c>
      <c r="K20" s="52">
        <v>0.192</v>
      </c>
      <c r="L20" s="52">
        <v>0.192</v>
      </c>
      <c r="M20" s="52">
        <v>0.192</v>
      </c>
      <c r="N20" s="52">
        <v>0.192</v>
      </c>
      <c r="O20" s="52">
        <v>0.192</v>
      </c>
      <c r="P20" s="52">
        <v>0.192</v>
      </c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.75" customHeight="1" x14ac:dyDescent="0.3">
      <c r="A21" s="47">
        <v>2</v>
      </c>
      <c r="B21" s="50" t="s">
        <v>81</v>
      </c>
      <c r="C21" s="47" t="s">
        <v>48</v>
      </c>
      <c r="D21" s="51"/>
      <c r="E21" s="52">
        <v>0.02</v>
      </c>
      <c r="F21" s="52">
        <v>0.02</v>
      </c>
      <c r="G21" s="52">
        <v>0.02</v>
      </c>
      <c r="H21" s="52">
        <v>0.02</v>
      </c>
      <c r="I21" s="52">
        <v>0.02</v>
      </c>
      <c r="J21" s="52">
        <v>0.02</v>
      </c>
      <c r="K21" s="52">
        <v>0.02</v>
      </c>
      <c r="L21" s="52">
        <v>0.02</v>
      </c>
      <c r="M21" s="52">
        <v>0.02</v>
      </c>
      <c r="N21" s="52">
        <v>0.02</v>
      </c>
      <c r="O21" s="52">
        <v>0.02</v>
      </c>
      <c r="P21" s="52">
        <v>0.02</v>
      </c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 x14ac:dyDescent="0.3">
      <c r="A22" s="18" t="s">
        <v>67</v>
      </c>
      <c r="B22" s="19" t="s">
        <v>69</v>
      </c>
      <c r="C22" s="20"/>
      <c r="D22" s="24">
        <f t="shared" ref="D22:P22" si="13">+D23+D29</f>
        <v>1236041.0409599999</v>
      </c>
      <c r="E22" s="24">
        <f t="shared" si="13"/>
        <v>151870.77599999998</v>
      </c>
      <c r="F22" s="24">
        <f t="shared" si="13"/>
        <v>60748.310400000002</v>
      </c>
      <c r="G22" s="24">
        <f t="shared" si="13"/>
        <v>46756.081919999997</v>
      </c>
      <c r="H22" s="24">
        <f t="shared" si="13"/>
        <v>50254.139039999995</v>
      </c>
      <c r="I22" s="24">
        <f t="shared" si="13"/>
        <v>121496.6208</v>
      </c>
      <c r="J22" s="24">
        <f t="shared" si="13"/>
        <v>106309.54319999999</v>
      </c>
      <c r="K22" s="24">
        <f t="shared" si="13"/>
        <v>106309.54319999999</v>
      </c>
      <c r="L22" s="24">
        <f t="shared" si="13"/>
        <v>91122.465599999996</v>
      </c>
      <c r="M22" s="24">
        <f t="shared" si="13"/>
        <v>106309.54319999999</v>
      </c>
      <c r="N22" s="24">
        <f t="shared" si="13"/>
        <v>121496.6208</v>
      </c>
      <c r="O22" s="24">
        <f t="shared" si="13"/>
        <v>121496.6208</v>
      </c>
      <c r="P22" s="24">
        <f t="shared" si="13"/>
        <v>151870.77599999998</v>
      </c>
    </row>
    <row r="23" spans="1:26" ht="15.75" customHeight="1" x14ac:dyDescent="0.3">
      <c r="A23" s="40" t="s">
        <v>33</v>
      </c>
      <c r="B23" s="41" t="s">
        <v>72</v>
      </c>
      <c r="C23" s="26" t="s">
        <v>48</v>
      </c>
      <c r="D23" s="15">
        <f t="shared" ref="D23:P23" si="14">SUBTOTAL(9,D24:D25)</f>
        <v>812123.9347199999</v>
      </c>
      <c r="E23" s="15">
        <f t="shared" si="14"/>
        <v>101262.33599999998</v>
      </c>
      <c r="F23" s="15">
        <f t="shared" si="14"/>
        <v>40504.934399999998</v>
      </c>
      <c r="G23" s="15">
        <f t="shared" si="14"/>
        <v>24302.960640000001</v>
      </c>
      <c r="H23" s="15">
        <f t="shared" si="14"/>
        <v>28353.454079999996</v>
      </c>
      <c r="I23" s="15">
        <f t="shared" si="14"/>
        <v>81009.868799999997</v>
      </c>
      <c r="J23" s="15">
        <f t="shared" si="14"/>
        <v>70883.63519999999</v>
      </c>
      <c r="K23" s="15">
        <f t="shared" si="14"/>
        <v>70883.63519999999</v>
      </c>
      <c r="L23" s="15">
        <f t="shared" si="14"/>
        <v>60757.40159999999</v>
      </c>
      <c r="M23" s="15">
        <f t="shared" si="14"/>
        <v>70883.63519999999</v>
      </c>
      <c r="N23" s="15">
        <f t="shared" si="14"/>
        <v>81009.868799999997</v>
      </c>
      <c r="O23" s="15">
        <f t="shared" si="14"/>
        <v>81009.868799999997</v>
      </c>
      <c r="P23" s="15">
        <f t="shared" si="14"/>
        <v>101262.33599999998</v>
      </c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3">
      <c r="A24" s="26">
        <v>1</v>
      </c>
      <c r="B24" s="27" t="s">
        <v>30</v>
      </c>
      <c r="C24" s="26" t="s">
        <v>48</v>
      </c>
      <c r="D24" s="11">
        <f t="shared" ref="D24:D25" si="15">SUM(E24:P24)</f>
        <v>734494.44095999992</v>
      </c>
      <c r="E24" s="11">
        <f t="shared" ref="E24:P24" si="16">E6*E27</f>
        <v>91582.847999999984</v>
      </c>
      <c r="F24" s="11">
        <f t="shared" si="16"/>
        <v>36633.139199999998</v>
      </c>
      <c r="G24" s="11">
        <f t="shared" si="16"/>
        <v>21979.883519999999</v>
      </c>
      <c r="H24" s="11">
        <f t="shared" si="16"/>
        <v>25643.197439999996</v>
      </c>
      <c r="I24" s="11">
        <f t="shared" si="16"/>
        <v>73266.278399999996</v>
      </c>
      <c r="J24" s="11">
        <f t="shared" si="16"/>
        <v>64107.993599999987</v>
      </c>
      <c r="K24" s="11">
        <f t="shared" si="16"/>
        <v>64107.993599999987</v>
      </c>
      <c r="L24" s="11">
        <f t="shared" si="16"/>
        <v>54949.708799999993</v>
      </c>
      <c r="M24" s="11">
        <f t="shared" si="16"/>
        <v>64107.993599999987</v>
      </c>
      <c r="N24" s="11">
        <f t="shared" si="16"/>
        <v>73266.278399999996</v>
      </c>
      <c r="O24" s="11">
        <f t="shared" si="16"/>
        <v>73266.278399999996</v>
      </c>
      <c r="P24" s="11">
        <f t="shared" si="16"/>
        <v>91582.847999999984</v>
      </c>
    </row>
    <row r="25" spans="1:26" ht="15.75" customHeight="1" x14ac:dyDescent="0.3">
      <c r="A25" s="26">
        <v>2</v>
      </c>
      <c r="B25" s="27" t="s">
        <v>36</v>
      </c>
      <c r="C25" s="26" t="s">
        <v>48</v>
      </c>
      <c r="D25" s="11">
        <f t="shared" si="15"/>
        <v>77629.493759999998</v>
      </c>
      <c r="E25" s="11">
        <f t="shared" ref="E25:P25" si="17">E7*E28</f>
        <v>9679.4880000000012</v>
      </c>
      <c r="F25" s="11">
        <f t="shared" si="17"/>
        <v>3871.7952000000005</v>
      </c>
      <c r="G25" s="11">
        <f t="shared" si="17"/>
        <v>2323.0771200000004</v>
      </c>
      <c r="H25" s="11">
        <f t="shared" si="17"/>
        <v>2710.2566400000001</v>
      </c>
      <c r="I25" s="11">
        <f t="shared" si="17"/>
        <v>7743.590400000001</v>
      </c>
      <c r="J25" s="11">
        <f t="shared" si="17"/>
        <v>6775.6415999999999</v>
      </c>
      <c r="K25" s="11">
        <f t="shared" si="17"/>
        <v>6775.6415999999999</v>
      </c>
      <c r="L25" s="11">
        <f t="shared" si="17"/>
        <v>5807.6927999999998</v>
      </c>
      <c r="M25" s="11">
        <f t="shared" si="17"/>
        <v>6775.6415999999999</v>
      </c>
      <c r="N25" s="11">
        <f t="shared" si="17"/>
        <v>7743.590400000001</v>
      </c>
      <c r="O25" s="11">
        <f t="shared" si="17"/>
        <v>7743.590400000001</v>
      </c>
      <c r="P25" s="11">
        <f t="shared" si="17"/>
        <v>9679.4880000000012</v>
      </c>
    </row>
    <row r="26" spans="1:26" ht="15.75" customHeight="1" x14ac:dyDescent="0.35">
      <c r="A26" s="44"/>
      <c r="B26" s="45" t="s">
        <v>84</v>
      </c>
      <c r="C26" s="44" t="s">
        <v>48</v>
      </c>
      <c r="D26" s="32"/>
      <c r="E26" s="36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 x14ac:dyDescent="0.3">
      <c r="A27" s="47">
        <v>1</v>
      </c>
      <c r="B27" s="27" t="s">
        <v>30</v>
      </c>
      <c r="C27" s="47" t="s">
        <v>48</v>
      </c>
      <c r="D27" s="36">
        <f t="shared" ref="D27:D28" si="18">D24/D9</f>
        <v>0.49199999999999999</v>
      </c>
      <c r="E27" s="36">
        <v>0.49199999999999994</v>
      </c>
      <c r="F27" s="36">
        <v>0.49199999999999994</v>
      </c>
      <c r="G27" s="36">
        <v>0.49199999999999994</v>
      </c>
      <c r="H27" s="36">
        <v>0.49199999999999994</v>
      </c>
      <c r="I27" s="36">
        <v>0.49199999999999994</v>
      </c>
      <c r="J27" s="36">
        <v>0.49199999999999994</v>
      </c>
      <c r="K27" s="36">
        <v>0.49199999999999994</v>
      </c>
      <c r="L27" s="36">
        <v>0.49199999999999994</v>
      </c>
      <c r="M27" s="36">
        <v>0.49199999999999994</v>
      </c>
      <c r="N27" s="36">
        <v>0.49199999999999994</v>
      </c>
      <c r="O27" s="36">
        <v>0.49199999999999994</v>
      </c>
      <c r="P27" s="36">
        <v>0.49199999999999994</v>
      </c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 x14ac:dyDescent="0.3">
      <c r="A28" s="47">
        <v>2</v>
      </c>
      <c r="B28" s="27" t="s">
        <v>36</v>
      </c>
      <c r="C28" s="47" t="s">
        <v>48</v>
      </c>
      <c r="D28" s="36">
        <f t="shared" si="18"/>
        <v>8.904090489915131E-3</v>
      </c>
      <c r="E28" s="36">
        <v>2.6000000000000002E-2</v>
      </c>
      <c r="F28" s="36">
        <v>2.6000000000000002E-2</v>
      </c>
      <c r="G28" s="36">
        <v>2.6000000000000002E-2</v>
      </c>
      <c r="H28" s="36">
        <v>2.6000000000000002E-2</v>
      </c>
      <c r="I28" s="36">
        <v>2.6000000000000002E-2</v>
      </c>
      <c r="J28" s="36">
        <v>2.6000000000000002E-2</v>
      </c>
      <c r="K28" s="36">
        <v>2.6000000000000002E-2</v>
      </c>
      <c r="L28" s="36">
        <v>2.6000000000000002E-2</v>
      </c>
      <c r="M28" s="36">
        <v>2.6000000000000002E-2</v>
      </c>
      <c r="N28" s="36">
        <v>2.6000000000000002E-2</v>
      </c>
      <c r="O28" s="36">
        <v>2.6000000000000002E-2</v>
      </c>
      <c r="P28" s="36">
        <v>2.6000000000000002E-2</v>
      </c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x14ac:dyDescent="0.3">
      <c r="A29" s="40" t="s">
        <v>64</v>
      </c>
      <c r="B29" s="41" t="s">
        <v>90</v>
      </c>
      <c r="C29" s="26" t="s">
        <v>48</v>
      </c>
      <c r="D29" s="15">
        <f>SUM(E29:P29)</f>
        <v>423917.10623999994</v>
      </c>
      <c r="E29" s="15">
        <f t="shared" ref="E29:P29" si="19">E31*E9+E32*E10</f>
        <v>50608.439999999995</v>
      </c>
      <c r="F29" s="15">
        <f t="shared" si="19"/>
        <v>20243.376</v>
      </c>
      <c r="G29" s="15">
        <f t="shared" si="19"/>
        <v>22453.121279999999</v>
      </c>
      <c r="H29" s="15">
        <f t="shared" si="19"/>
        <v>21900.684959999999</v>
      </c>
      <c r="I29" s="15">
        <f t="shared" si="19"/>
        <v>40486.752</v>
      </c>
      <c r="J29" s="15">
        <f t="shared" si="19"/>
        <v>35425.907999999996</v>
      </c>
      <c r="K29" s="15">
        <f t="shared" si="19"/>
        <v>35425.907999999996</v>
      </c>
      <c r="L29" s="15">
        <f t="shared" si="19"/>
        <v>30365.063999999998</v>
      </c>
      <c r="M29" s="15">
        <f t="shared" si="19"/>
        <v>35425.907999999996</v>
      </c>
      <c r="N29" s="15">
        <f t="shared" si="19"/>
        <v>40486.752</v>
      </c>
      <c r="O29" s="15">
        <f t="shared" si="19"/>
        <v>40486.752</v>
      </c>
      <c r="P29" s="15">
        <f t="shared" si="19"/>
        <v>50608.439999999995</v>
      </c>
      <c r="Q29" s="33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35">
      <c r="A30" s="40"/>
      <c r="B30" s="45" t="s">
        <v>110</v>
      </c>
      <c r="C30" s="26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33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3">
      <c r="A31" s="47">
        <v>1</v>
      </c>
      <c r="B31" s="27" t="s">
        <v>30</v>
      </c>
      <c r="C31" s="47" t="s">
        <v>48</v>
      </c>
      <c r="D31" s="36">
        <f t="shared" ref="D31:D32" si="20">D28/D13</f>
        <v>9.9406527736103507E-9</v>
      </c>
      <c r="E31" s="36">
        <v>0.17299999999999999</v>
      </c>
      <c r="F31" s="36">
        <v>0.17299999999999999</v>
      </c>
      <c r="G31" s="36">
        <v>0.17299999999999999</v>
      </c>
      <c r="H31" s="36">
        <v>0.17299999999999999</v>
      </c>
      <c r="I31" s="36">
        <v>0.17299999999999999</v>
      </c>
      <c r="J31" s="36">
        <v>0.17299999999999999</v>
      </c>
      <c r="K31" s="36">
        <v>0.17299999999999999</v>
      </c>
      <c r="L31" s="36">
        <v>0.17299999999999999</v>
      </c>
      <c r="M31" s="36">
        <v>0.17299999999999999</v>
      </c>
      <c r="N31" s="36">
        <v>0.17299999999999999</v>
      </c>
      <c r="O31" s="36">
        <v>0.17299999999999999</v>
      </c>
      <c r="P31" s="36">
        <v>0.17299999999999999</v>
      </c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5.75" customHeight="1" x14ac:dyDescent="0.3">
      <c r="A32" s="47">
        <v>2</v>
      </c>
      <c r="B32" s="27" t="s">
        <v>36</v>
      </c>
      <c r="C32" s="47" t="s">
        <v>48</v>
      </c>
      <c r="D32" s="36">
        <f t="shared" si="20"/>
        <v>3.5495029750919245</v>
      </c>
      <c r="E32" s="36">
        <v>1.9E-2</v>
      </c>
      <c r="F32" s="36">
        <v>1.9E-2</v>
      </c>
      <c r="G32" s="36">
        <v>1.9E-2</v>
      </c>
      <c r="H32" s="36">
        <v>1.9E-2</v>
      </c>
      <c r="I32" s="36">
        <v>1.9E-2</v>
      </c>
      <c r="J32" s="36">
        <v>1.9E-2</v>
      </c>
      <c r="K32" s="36">
        <v>1.9E-2</v>
      </c>
      <c r="L32" s="36">
        <v>1.9E-2</v>
      </c>
      <c r="M32" s="36">
        <v>1.9E-2</v>
      </c>
      <c r="N32" s="36">
        <v>1.9E-2</v>
      </c>
      <c r="O32" s="36">
        <v>1.9E-2</v>
      </c>
      <c r="P32" s="36">
        <v>1.9E-2</v>
      </c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16" ht="15.75" customHeight="1" x14ac:dyDescent="0.3">
      <c r="A33" s="18" t="s">
        <v>93</v>
      </c>
      <c r="B33" s="19" t="s">
        <v>95</v>
      </c>
      <c r="C33" s="20" t="s">
        <v>48</v>
      </c>
      <c r="D33" s="24">
        <f>SUM(E33:P33)</f>
        <v>240114.0144000001</v>
      </c>
      <c r="E33" s="24">
        <f t="shared" ref="E33:P33" si="21">+E11-E22</f>
        <v>29821.032000000036</v>
      </c>
      <c r="F33" s="24">
        <f t="shared" si="21"/>
        <v>11928.412800000006</v>
      </c>
      <c r="G33" s="24">
        <f t="shared" si="21"/>
        <v>7699.5264000000025</v>
      </c>
      <c r="H33" s="24">
        <f t="shared" si="21"/>
        <v>8756.7480000000069</v>
      </c>
      <c r="I33" s="24">
        <f t="shared" si="21"/>
        <v>23856.825600000011</v>
      </c>
      <c r="J33" s="24">
        <f t="shared" si="21"/>
        <v>20874.722399999999</v>
      </c>
      <c r="K33" s="24">
        <f t="shared" si="21"/>
        <v>20874.722399999999</v>
      </c>
      <c r="L33" s="24">
        <f t="shared" si="21"/>
        <v>17892.619199999986</v>
      </c>
      <c r="M33" s="24">
        <f t="shared" si="21"/>
        <v>20874.722399999999</v>
      </c>
      <c r="N33" s="24">
        <f t="shared" si="21"/>
        <v>23856.825600000011</v>
      </c>
      <c r="O33" s="24">
        <f t="shared" si="21"/>
        <v>23856.825600000011</v>
      </c>
      <c r="P33" s="24">
        <f t="shared" si="21"/>
        <v>29821.032000000036</v>
      </c>
    </row>
    <row r="34" spans="1:16" ht="15.75" customHeight="1" x14ac:dyDescent="0.3">
      <c r="A34" s="26"/>
      <c r="B34" s="27" t="s">
        <v>100</v>
      </c>
      <c r="C34" s="26"/>
      <c r="D34" s="54">
        <f t="shared" ref="D34:P34" si="22">IFERROR(D33/D11,0)</f>
        <v>0.16266178375241336</v>
      </c>
      <c r="E34" s="54">
        <f t="shared" si="22"/>
        <v>0.16412975537124949</v>
      </c>
      <c r="F34" s="54">
        <f t="shared" si="22"/>
        <v>0.16412975537124938</v>
      </c>
      <c r="G34" s="54">
        <f t="shared" si="22"/>
        <v>0.14139088034339678</v>
      </c>
      <c r="H34" s="54">
        <f t="shared" si="22"/>
        <v>0.14839207541591984</v>
      </c>
      <c r="I34" s="54">
        <f t="shared" si="22"/>
        <v>0.16412975537124938</v>
      </c>
      <c r="J34" s="54">
        <f t="shared" si="22"/>
        <v>0.16412975537124933</v>
      </c>
      <c r="K34" s="54">
        <f t="shared" si="22"/>
        <v>0.16412975537124933</v>
      </c>
      <c r="L34" s="54">
        <f t="shared" si="22"/>
        <v>0.16412975537124921</v>
      </c>
      <c r="M34" s="54">
        <f t="shared" si="22"/>
        <v>0.16412975537124933</v>
      </c>
      <c r="N34" s="54">
        <f t="shared" si="22"/>
        <v>0.16412975537124938</v>
      </c>
      <c r="O34" s="54">
        <f t="shared" si="22"/>
        <v>0.16412975537124938</v>
      </c>
      <c r="P34" s="54">
        <f t="shared" si="22"/>
        <v>0.16412975537124949</v>
      </c>
    </row>
    <row r="35" spans="1:16" ht="15.75" customHeight="1" x14ac:dyDescent="0.3">
      <c r="A35" s="18" t="s">
        <v>104</v>
      </c>
      <c r="B35" s="19" t="s">
        <v>105</v>
      </c>
      <c r="C35" s="20"/>
      <c r="D35" s="24">
        <f t="shared" ref="D35:D38" si="23">SUM(E35:P35)</f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</row>
    <row r="36" spans="1:16" ht="15.75" customHeight="1" x14ac:dyDescent="0.3">
      <c r="A36" s="18" t="s">
        <v>108</v>
      </c>
      <c r="B36" s="19" t="s">
        <v>109</v>
      </c>
      <c r="C36" s="20" t="s">
        <v>48</v>
      </c>
      <c r="D36" s="24">
        <f t="shared" si="23"/>
        <v>37424.219178082203</v>
      </c>
      <c r="E36" s="24">
        <f t="shared" ref="E36:P36" si="24">510000*7.2%/365*31</f>
        <v>3118.6849315068503</v>
      </c>
      <c r="F36" s="24">
        <f t="shared" si="24"/>
        <v>3118.6849315068503</v>
      </c>
      <c r="G36" s="24">
        <f t="shared" si="24"/>
        <v>3118.6849315068503</v>
      </c>
      <c r="H36" s="24">
        <f t="shared" si="24"/>
        <v>3118.6849315068503</v>
      </c>
      <c r="I36" s="24">
        <f t="shared" si="24"/>
        <v>3118.6849315068503</v>
      </c>
      <c r="J36" s="24">
        <f t="shared" si="24"/>
        <v>3118.6849315068503</v>
      </c>
      <c r="K36" s="24">
        <f t="shared" si="24"/>
        <v>3118.6849315068503</v>
      </c>
      <c r="L36" s="24">
        <f t="shared" si="24"/>
        <v>3118.6849315068503</v>
      </c>
      <c r="M36" s="24">
        <f t="shared" si="24"/>
        <v>3118.6849315068503</v>
      </c>
      <c r="N36" s="24">
        <f t="shared" si="24"/>
        <v>3118.6849315068503</v>
      </c>
      <c r="O36" s="24">
        <f t="shared" si="24"/>
        <v>3118.6849315068503</v>
      </c>
      <c r="P36" s="24">
        <f t="shared" si="24"/>
        <v>3118.6849315068503</v>
      </c>
    </row>
    <row r="37" spans="1:16" ht="15.75" customHeight="1" x14ac:dyDescent="0.3">
      <c r="A37" s="18" t="s">
        <v>115</v>
      </c>
      <c r="B37" s="19" t="s">
        <v>116</v>
      </c>
      <c r="C37" s="20" t="s">
        <v>48</v>
      </c>
      <c r="D37" s="24">
        <f t="shared" si="23"/>
        <v>73807.752768000006</v>
      </c>
      <c r="E37" s="24">
        <f t="shared" ref="E37:P37" si="25">E11*5%</f>
        <v>9084.590400000001</v>
      </c>
      <c r="F37" s="24">
        <f t="shared" si="25"/>
        <v>3633.8361600000007</v>
      </c>
      <c r="G37" s="24">
        <f t="shared" si="25"/>
        <v>2722.7804160000001</v>
      </c>
      <c r="H37" s="24">
        <f t="shared" si="25"/>
        <v>2950.5443520000003</v>
      </c>
      <c r="I37" s="24">
        <f t="shared" si="25"/>
        <v>7267.6723200000015</v>
      </c>
      <c r="J37" s="24">
        <f t="shared" si="25"/>
        <v>6359.2132799999999</v>
      </c>
      <c r="K37" s="24">
        <f t="shared" si="25"/>
        <v>6359.2132799999999</v>
      </c>
      <c r="L37" s="24">
        <f t="shared" si="25"/>
        <v>5450.7542399999993</v>
      </c>
      <c r="M37" s="24">
        <f t="shared" si="25"/>
        <v>6359.2132799999999</v>
      </c>
      <c r="N37" s="24">
        <f t="shared" si="25"/>
        <v>7267.6723200000015</v>
      </c>
      <c r="O37" s="24">
        <f t="shared" si="25"/>
        <v>7267.6723200000015</v>
      </c>
      <c r="P37" s="24">
        <f t="shared" si="25"/>
        <v>9084.590400000001</v>
      </c>
    </row>
    <row r="38" spans="1:16" ht="15.75" customHeight="1" x14ac:dyDescent="0.3">
      <c r="A38" s="18" t="s">
        <v>33</v>
      </c>
      <c r="B38" s="19" t="s">
        <v>120</v>
      </c>
      <c r="C38" s="20" t="s">
        <v>48</v>
      </c>
      <c r="D38" s="24">
        <f t="shared" si="23"/>
        <v>29523.101107199996</v>
      </c>
      <c r="E38" s="24">
        <f t="shared" ref="E38:P38" si="26">E11*2%</f>
        <v>3633.8361600000003</v>
      </c>
      <c r="F38" s="24">
        <f t="shared" si="26"/>
        <v>1453.5344640000001</v>
      </c>
      <c r="G38" s="24">
        <f t="shared" si="26"/>
        <v>1089.1121664</v>
      </c>
      <c r="H38" s="24">
        <f t="shared" si="26"/>
        <v>1180.2177408</v>
      </c>
      <c r="I38" s="24">
        <f t="shared" si="26"/>
        <v>2907.0689280000001</v>
      </c>
      <c r="J38" s="24">
        <f t="shared" si="26"/>
        <v>2543.6853119999996</v>
      </c>
      <c r="K38" s="24">
        <f t="shared" si="26"/>
        <v>2543.6853119999996</v>
      </c>
      <c r="L38" s="24">
        <f t="shared" si="26"/>
        <v>2180.3016959999995</v>
      </c>
      <c r="M38" s="24">
        <f t="shared" si="26"/>
        <v>2543.6853119999996</v>
      </c>
      <c r="N38" s="24">
        <f t="shared" si="26"/>
        <v>2907.0689280000001</v>
      </c>
      <c r="O38" s="24">
        <f t="shared" si="26"/>
        <v>2907.0689280000001</v>
      </c>
      <c r="P38" s="24">
        <f t="shared" si="26"/>
        <v>3633.8361600000003</v>
      </c>
    </row>
    <row r="39" spans="1:16" ht="15.75" customHeight="1" x14ac:dyDescent="0.3">
      <c r="A39" s="58" t="s">
        <v>123</v>
      </c>
      <c r="B39" s="59" t="s">
        <v>124</v>
      </c>
      <c r="C39" s="60" t="s">
        <v>48</v>
      </c>
      <c r="D39" s="24">
        <f t="shared" ref="D39:P39" si="27">+D33+D35-D36-D37-D38</f>
        <v>99358.941346717911</v>
      </c>
      <c r="E39" s="24">
        <f t="shared" si="27"/>
        <v>13983.920508493184</v>
      </c>
      <c r="F39" s="24">
        <f t="shared" si="27"/>
        <v>3722.3572444931542</v>
      </c>
      <c r="G39" s="24">
        <f t="shared" si="27"/>
        <v>768.94888609315217</v>
      </c>
      <c r="H39" s="24">
        <f t="shared" si="27"/>
        <v>1507.3009756931563</v>
      </c>
      <c r="I39" s="24">
        <f t="shared" si="27"/>
        <v>10563.399420493159</v>
      </c>
      <c r="J39" s="24">
        <f t="shared" si="27"/>
        <v>8853.1388764931489</v>
      </c>
      <c r="K39" s="24">
        <f t="shared" si="27"/>
        <v>8853.1388764931489</v>
      </c>
      <c r="L39" s="24">
        <f t="shared" si="27"/>
        <v>7142.8783324931383</v>
      </c>
      <c r="M39" s="24">
        <f t="shared" si="27"/>
        <v>8853.1388764931489</v>
      </c>
      <c r="N39" s="24">
        <f t="shared" si="27"/>
        <v>10563.399420493159</v>
      </c>
      <c r="O39" s="24">
        <f t="shared" si="27"/>
        <v>10563.399420493159</v>
      </c>
      <c r="P39" s="24">
        <f t="shared" si="27"/>
        <v>13983.920508493184</v>
      </c>
    </row>
    <row r="40" spans="1:16" ht="15.75" hidden="1" customHeight="1" x14ac:dyDescent="0.3">
      <c r="A40" s="26"/>
      <c r="B40" s="27" t="s">
        <v>130</v>
      </c>
      <c r="C40" s="26" t="s">
        <v>48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 ht="15.75" hidden="1" customHeight="1" x14ac:dyDescent="0.3">
      <c r="A41" s="26"/>
      <c r="B41" s="27" t="s">
        <v>133</v>
      </c>
      <c r="C41" s="26" t="s">
        <v>48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 ht="15.75" customHeight="1" x14ac:dyDescent="0.3">
      <c r="A42" s="58" t="s">
        <v>136</v>
      </c>
      <c r="B42" s="59" t="s">
        <v>137</v>
      </c>
      <c r="C42" s="60"/>
      <c r="D42" s="24">
        <f>+D40-D41</f>
        <v>0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ht="15.75" customHeight="1" x14ac:dyDescent="0.3">
      <c r="A43" s="64" t="s">
        <v>140</v>
      </c>
      <c r="B43" s="65" t="s">
        <v>142</v>
      </c>
      <c r="C43" s="66" t="s">
        <v>48</v>
      </c>
      <c r="D43" s="67">
        <f t="shared" ref="D43:P43" si="28">+D39+D42</f>
        <v>99358.941346717911</v>
      </c>
      <c r="E43" s="67">
        <f t="shared" si="28"/>
        <v>13983.920508493184</v>
      </c>
      <c r="F43" s="67">
        <f t="shared" si="28"/>
        <v>3722.3572444931542</v>
      </c>
      <c r="G43" s="67">
        <f t="shared" si="28"/>
        <v>768.94888609315217</v>
      </c>
      <c r="H43" s="67">
        <f t="shared" si="28"/>
        <v>1507.3009756931563</v>
      </c>
      <c r="I43" s="67">
        <f t="shared" si="28"/>
        <v>10563.399420493159</v>
      </c>
      <c r="J43" s="67">
        <f t="shared" si="28"/>
        <v>8853.1388764931489</v>
      </c>
      <c r="K43" s="67">
        <f t="shared" si="28"/>
        <v>8853.1388764931489</v>
      </c>
      <c r="L43" s="67">
        <f t="shared" si="28"/>
        <v>7142.8783324931383</v>
      </c>
      <c r="M43" s="67">
        <f t="shared" si="28"/>
        <v>8853.1388764931489</v>
      </c>
      <c r="N43" s="67">
        <f t="shared" si="28"/>
        <v>10563.399420493159</v>
      </c>
      <c r="O43" s="67">
        <f t="shared" si="28"/>
        <v>10563.399420493159</v>
      </c>
      <c r="P43" s="67">
        <f t="shared" si="28"/>
        <v>13983.920508493184</v>
      </c>
    </row>
    <row r="44" spans="1:16" ht="15.75" customHeight="1" x14ac:dyDescent="0.3">
      <c r="A44" s="18"/>
      <c r="B44" s="19" t="s">
        <v>144</v>
      </c>
      <c r="C44" s="20"/>
      <c r="D44" s="24">
        <v>16780</v>
      </c>
      <c r="E44" s="24">
        <v>1398.3333333333301</v>
      </c>
      <c r="F44" s="24">
        <v>1398.3333333333333</v>
      </c>
      <c r="G44" s="24">
        <v>1398.3333333333333</v>
      </c>
      <c r="H44" s="24">
        <v>1398.3333333333333</v>
      </c>
      <c r="I44" s="24">
        <v>1398.3333333333333</v>
      </c>
      <c r="J44" s="24">
        <v>1398.3333333333333</v>
      </c>
      <c r="K44" s="24">
        <v>1398.3333333333333</v>
      </c>
      <c r="L44" s="24">
        <v>1398.3333333333333</v>
      </c>
      <c r="M44" s="24">
        <v>1398.3333333333333</v>
      </c>
      <c r="N44" s="24">
        <v>1398.3333333333333</v>
      </c>
      <c r="O44" s="24">
        <v>1398.3333333333333</v>
      </c>
      <c r="P44" s="24">
        <v>1398.3333333333333</v>
      </c>
    </row>
    <row r="45" spans="1:16" ht="16.5" customHeight="1" x14ac:dyDescent="0.3">
      <c r="A45" s="68"/>
      <c r="B45" s="69" t="s">
        <v>146</v>
      </c>
      <c r="C45" s="70"/>
      <c r="D45" s="71">
        <f t="shared" ref="D45:P45" si="29">D43+D44+D36</f>
        <v>153563.16052480013</v>
      </c>
      <c r="E45" s="71">
        <f t="shared" si="29"/>
        <v>18500.938773333364</v>
      </c>
      <c r="F45" s="71">
        <f t="shared" si="29"/>
        <v>8239.3755093333384</v>
      </c>
      <c r="G45" s="71">
        <f t="shared" si="29"/>
        <v>5285.9671509333357</v>
      </c>
      <c r="H45" s="71">
        <f t="shared" si="29"/>
        <v>6024.3192405333393</v>
      </c>
      <c r="I45" s="71">
        <f t="shared" si="29"/>
        <v>15080.417685333343</v>
      </c>
      <c r="J45" s="71">
        <f t="shared" si="29"/>
        <v>13370.157141333333</v>
      </c>
      <c r="K45" s="71">
        <f t="shared" si="29"/>
        <v>13370.157141333333</v>
      </c>
      <c r="L45" s="71">
        <f t="shared" si="29"/>
        <v>11659.896597333322</v>
      </c>
      <c r="M45" s="71">
        <f t="shared" si="29"/>
        <v>13370.157141333333</v>
      </c>
      <c r="N45" s="71">
        <f t="shared" si="29"/>
        <v>15080.417685333343</v>
      </c>
      <c r="O45" s="71">
        <f t="shared" si="29"/>
        <v>15080.417685333343</v>
      </c>
      <c r="P45" s="71">
        <f t="shared" si="29"/>
        <v>18500.938773333368</v>
      </c>
    </row>
    <row r="46" spans="1:16" ht="16.5" hidden="1" customHeight="1" x14ac:dyDescent="0.3"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</row>
    <row r="47" spans="1:16" ht="16.5" hidden="1" customHeight="1" x14ac:dyDescent="0.3"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</row>
    <row r="48" spans="1:16" ht="15" hidden="1" customHeight="1" x14ac:dyDescent="0.3">
      <c r="D48" s="33" t="s">
        <v>149</v>
      </c>
      <c r="E48" s="33">
        <f t="shared" ref="E48:P48" si="30">SUM(E13:E14)</f>
        <v>126577.92</v>
      </c>
      <c r="F48" s="33">
        <f t="shared" si="30"/>
        <v>50631.168000000005</v>
      </c>
      <c r="G48" s="33">
        <f t="shared" si="30"/>
        <v>30378.700800000002</v>
      </c>
      <c r="H48" s="33">
        <f t="shared" si="30"/>
        <v>35441.817600000002</v>
      </c>
      <c r="I48" s="33">
        <f t="shared" si="30"/>
        <v>101262.33600000001</v>
      </c>
      <c r="J48" s="33">
        <f t="shared" si="30"/>
        <v>88604.543999999994</v>
      </c>
      <c r="K48" s="33">
        <f t="shared" si="30"/>
        <v>88604.543999999994</v>
      </c>
      <c r="L48" s="33">
        <f t="shared" si="30"/>
        <v>75946.751999999993</v>
      </c>
      <c r="M48" s="33">
        <f t="shared" si="30"/>
        <v>88604.543999999994</v>
      </c>
      <c r="N48" s="33">
        <f t="shared" si="30"/>
        <v>101262.33600000001</v>
      </c>
      <c r="O48" s="33">
        <f t="shared" si="30"/>
        <v>101262.33600000001</v>
      </c>
      <c r="P48" s="33">
        <f t="shared" si="30"/>
        <v>126577.92</v>
      </c>
    </row>
    <row r="49" spans="4:17" ht="15" hidden="1" customHeight="1" x14ac:dyDescent="0.3">
      <c r="D49" s="73" t="s">
        <v>150</v>
      </c>
      <c r="E49" s="33">
        <f t="shared" ref="E49:P49" si="31">SUM(E24:E25)</f>
        <v>101262.33599999998</v>
      </c>
      <c r="F49" s="33">
        <f t="shared" si="31"/>
        <v>40504.934399999998</v>
      </c>
      <c r="G49" s="33">
        <f t="shared" si="31"/>
        <v>24302.960640000001</v>
      </c>
      <c r="H49" s="33">
        <f t="shared" si="31"/>
        <v>28353.454079999996</v>
      </c>
      <c r="I49" s="33">
        <f t="shared" si="31"/>
        <v>81009.868799999997</v>
      </c>
      <c r="J49" s="33">
        <f t="shared" si="31"/>
        <v>70883.63519999999</v>
      </c>
      <c r="K49" s="33">
        <f t="shared" si="31"/>
        <v>70883.63519999999</v>
      </c>
      <c r="L49" s="33">
        <f t="shared" si="31"/>
        <v>60757.40159999999</v>
      </c>
      <c r="M49" s="33">
        <f t="shared" si="31"/>
        <v>70883.63519999999</v>
      </c>
      <c r="N49" s="33">
        <f t="shared" si="31"/>
        <v>81009.868799999997</v>
      </c>
      <c r="O49" s="33">
        <f t="shared" si="31"/>
        <v>81009.868799999997</v>
      </c>
      <c r="P49" s="33">
        <f t="shared" si="31"/>
        <v>101262.33599999998</v>
      </c>
    </row>
    <row r="50" spans="4:17" ht="15" hidden="1" customHeight="1" x14ac:dyDescent="0.3">
      <c r="D50" s="73" t="s">
        <v>152</v>
      </c>
      <c r="E50" s="33">
        <f t="shared" ref="E50:P50" si="32">E48-E49</f>
        <v>25315.584000000017</v>
      </c>
      <c r="F50" s="33">
        <f t="shared" si="32"/>
        <v>10126.233600000007</v>
      </c>
      <c r="G50" s="33">
        <f t="shared" si="32"/>
        <v>6075.7401600000012</v>
      </c>
      <c r="H50" s="33">
        <f t="shared" si="32"/>
        <v>7088.3635200000062</v>
      </c>
      <c r="I50" s="33">
        <f t="shared" si="32"/>
        <v>20252.467200000014</v>
      </c>
      <c r="J50" s="33">
        <f t="shared" si="32"/>
        <v>17720.908800000005</v>
      </c>
      <c r="K50" s="33">
        <f t="shared" si="32"/>
        <v>17720.908800000005</v>
      </c>
      <c r="L50" s="33">
        <f t="shared" si="32"/>
        <v>15189.350400000003</v>
      </c>
      <c r="M50" s="33">
        <f t="shared" si="32"/>
        <v>17720.908800000005</v>
      </c>
      <c r="N50" s="33">
        <f t="shared" si="32"/>
        <v>20252.467200000014</v>
      </c>
      <c r="O50" s="33">
        <f t="shared" si="32"/>
        <v>20252.467200000014</v>
      </c>
      <c r="P50" s="33">
        <f t="shared" si="32"/>
        <v>25315.584000000017</v>
      </c>
    </row>
    <row r="51" spans="4:17" ht="15" hidden="1" customHeight="1" x14ac:dyDescent="0.3">
      <c r="D51" s="73" t="s">
        <v>153</v>
      </c>
      <c r="E51" s="33">
        <v>-1244.3957100309381</v>
      </c>
      <c r="F51" s="33">
        <v>-1935.4658844828555</v>
      </c>
      <c r="G51" s="33">
        <v>-3959.5547035912386</v>
      </c>
      <c r="H51" s="33">
        <v>-1278.6269167679966</v>
      </c>
      <c r="I51" s="33">
        <v>-3523.2462918223318</v>
      </c>
      <c r="J51" s="33">
        <v>-1068.6955030649915</v>
      </c>
      <c r="K51" s="33">
        <v>-1479.6027884755131</v>
      </c>
      <c r="L51" s="33">
        <v>-1943.9540500180301</v>
      </c>
      <c r="M51" s="33">
        <v>-1459.0087573015735</v>
      </c>
      <c r="N51" s="33">
        <v>-1868.1807337870378</v>
      </c>
      <c r="O51" s="33">
        <v>-2538.1901102192824</v>
      </c>
      <c r="P51" s="33">
        <v>-1885.4767485715311</v>
      </c>
    </row>
    <row r="52" spans="4:17" ht="15" hidden="1" customHeight="1" x14ac:dyDescent="0.3">
      <c r="D52" s="73" t="s">
        <v>155</v>
      </c>
      <c r="E52" s="74">
        <f t="shared" ref="E52:P52" si="33">E38/E11</f>
        <v>0.02</v>
      </c>
      <c r="F52" s="74">
        <f t="shared" si="33"/>
        <v>0.02</v>
      </c>
      <c r="G52" s="74">
        <f t="shared" si="33"/>
        <v>0.02</v>
      </c>
      <c r="H52" s="74">
        <f t="shared" si="33"/>
        <v>0.02</v>
      </c>
      <c r="I52" s="74">
        <f t="shared" si="33"/>
        <v>0.02</v>
      </c>
      <c r="J52" s="74">
        <f t="shared" si="33"/>
        <v>0.02</v>
      </c>
      <c r="K52" s="74">
        <f t="shared" si="33"/>
        <v>0.02</v>
      </c>
      <c r="L52" s="74">
        <f t="shared" si="33"/>
        <v>0.02</v>
      </c>
      <c r="M52" s="74">
        <f t="shared" si="33"/>
        <v>0.02</v>
      </c>
      <c r="N52" s="74">
        <f t="shared" si="33"/>
        <v>0.02</v>
      </c>
      <c r="O52" s="74">
        <f t="shared" si="33"/>
        <v>0.02</v>
      </c>
      <c r="P52" s="74">
        <f t="shared" si="33"/>
        <v>0.02</v>
      </c>
    </row>
    <row r="53" spans="4:17" ht="15" hidden="1" customHeight="1" x14ac:dyDescent="0.3">
      <c r="D53" s="73" t="s">
        <v>156</v>
      </c>
      <c r="E53" s="74">
        <f t="shared" ref="E53:P53" si="34">E37/E11</f>
        <v>0.05</v>
      </c>
      <c r="F53" s="74">
        <f t="shared" si="34"/>
        <v>0.05</v>
      </c>
      <c r="G53" s="74">
        <f t="shared" si="34"/>
        <v>0.05</v>
      </c>
      <c r="H53" s="74">
        <f t="shared" si="34"/>
        <v>0.05</v>
      </c>
      <c r="I53" s="74">
        <f t="shared" si="34"/>
        <v>0.05</v>
      </c>
      <c r="J53" s="74">
        <f t="shared" si="34"/>
        <v>0.05</v>
      </c>
      <c r="K53" s="74">
        <f t="shared" si="34"/>
        <v>0.05</v>
      </c>
      <c r="L53" s="74">
        <f t="shared" si="34"/>
        <v>0.05</v>
      </c>
      <c r="M53" s="74">
        <f t="shared" si="34"/>
        <v>0.05</v>
      </c>
      <c r="N53" s="74">
        <f t="shared" si="34"/>
        <v>0.05</v>
      </c>
      <c r="O53" s="74">
        <f t="shared" si="34"/>
        <v>0.05</v>
      </c>
      <c r="P53" s="74">
        <f t="shared" si="34"/>
        <v>0.05</v>
      </c>
    </row>
    <row r="54" spans="4:17" ht="15" hidden="1" customHeight="1" x14ac:dyDescent="0.3"/>
    <row r="55" spans="4:17" ht="15" hidden="1" customHeight="1" x14ac:dyDescent="0.3"/>
    <row r="56" spans="4:17" ht="15" hidden="1" customHeight="1" x14ac:dyDescent="0.3">
      <c r="D56" s="33">
        <f>D22-D44</f>
        <v>1219261.0409599999</v>
      </c>
    </row>
    <row r="57" spans="4:17" ht="15" hidden="1" customHeight="1" x14ac:dyDescent="0.3">
      <c r="D57" s="73">
        <f>D56/D22</f>
        <v>0.98642439899328305</v>
      </c>
    </row>
    <row r="58" spans="4:17" ht="15" hidden="1" customHeight="1" x14ac:dyDescent="0.3">
      <c r="D58" s="77">
        <f>(D37+D38)/D22*100</f>
        <v>8.3598238611030027</v>
      </c>
    </row>
    <row r="59" spans="4:17" ht="15" hidden="1" customHeight="1" x14ac:dyDescent="0.3"/>
    <row r="60" spans="4:17" ht="15" hidden="1" customHeight="1" x14ac:dyDescent="0.3"/>
    <row r="61" spans="4:17" ht="15" hidden="1" customHeight="1" x14ac:dyDescent="0.3"/>
    <row r="62" spans="4:17" ht="15" hidden="1" customHeight="1" x14ac:dyDescent="0.3"/>
    <row r="63" spans="4:17" ht="15" customHeight="1" x14ac:dyDescent="0.3">
      <c r="D63" s="5"/>
      <c r="E63" s="5">
        <f t="shared" ref="E63:Q63" si="35">E45/E11</f>
        <v>0.10182593798248385</v>
      </c>
      <c r="F63" s="5">
        <f t="shared" si="35"/>
        <v>0.1133702118993353</v>
      </c>
      <c r="G63" s="5">
        <f t="shared" si="35"/>
        <v>9.7069288435291431E-2</v>
      </c>
      <c r="H63" s="5">
        <f t="shared" si="35"/>
        <v>0.1020882678216616</v>
      </c>
      <c r="I63" s="5">
        <f t="shared" si="35"/>
        <v>0.10374998363529234</v>
      </c>
      <c r="J63" s="5">
        <f t="shared" si="35"/>
        <v>0.105124301958727</v>
      </c>
      <c r="K63" s="5">
        <f t="shared" si="35"/>
        <v>0.105124301958727</v>
      </c>
      <c r="L63" s="5">
        <f t="shared" si="35"/>
        <v>0.10695672638997318</v>
      </c>
      <c r="M63" s="5">
        <f t="shared" si="35"/>
        <v>0.105124301958727</v>
      </c>
      <c r="N63" s="5">
        <f t="shared" si="35"/>
        <v>0.10374998363529234</v>
      </c>
      <c r="O63" s="5">
        <f t="shared" si="35"/>
        <v>0.10374998363529234</v>
      </c>
      <c r="P63" s="5">
        <f t="shared" si="35"/>
        <v>0.10182593798248386</v>
      </c>
      <c r="Q63" s="5" t="e">
        <f t="shared" si="35"/>
        <v>#DIV/0!</v>
      </c>
    </row>
    <row r="64" spans="4:17" ht="14.25" customHeight="1" x14ac:dyDescent="0.3">
      <c r="D64" s="5">
        <f t="shared" ref="D64:P64" si="36">D43/D11</f>
        <v>6.7309285014429981E-2</v>
      </c>
      <c r="E64" s="5">
        <f t="shared" si="36"/>
        <v>7.696505782194199E-2</v>
      </c>
      <c r="F64" s="5">
        <f t="shared" si="36"/>
        <v>5.1218011497980602E-2</v>
      </c>
      <c r="G64" s="5">
        <f t="shared" si="36"/>
        <v>1.4120655517693282E-2</v>
      </c>
      <c r="H64" s="5">
        <f t="shared" si="36"/>
        <v>2.5542760858203093E-2</v>
      </c>
      <c r="I64" s="5">
        <f t="shared" si="36"/>
        <v>7.2673883434614991E-2</v>
      </c>
      <c r="J64" s="5">
        <f t="shared" si="36"/>
        <v>6.9608758872238594E-2</v>
      </c>
      <c r="K64" s="5">
        <f t="shared" si="36"/>
        <v>6.9608758872238594E-2</v>
      </c>
      <c r="L64" s="5">
        <f t="shared" si="36"/>
        <v>6.5521926122403373E-2</v>
      </c>
      <c r="M64" s="5">
        <f t="shared" si="36"/>
        <v>6.9608758872238594E-2</v>
      </c>
      <c r="N64" s="5">
        <f t="shared" si="36"/>
        <v>7.2673883434614991E-2</v>
      </c>
      <c r="O64" s="5">
        <f t="shared" si="36"/>
        <v>7.2673883434614991E-2</v>
      </c>
      <c r="P64" s="5">
        <f t="shared" si="36"/>
        <v>7.696505782194199E-2</v>
      </c>
    </row>
    <row r="65" spans="4:15" ht="22.5" customHeight="1" x14ac:dyDescent="0.4">
      <c r="D65" s="33"/>
      <c r="K65" s="149" t="s">
        <v>160</v>
      </c>
      <c r="L65" s="146"/>
      <c r="M65" s="146"/>
      <c r="N65" s="146"/>
    </row>
    <row r="66" spans="4:15" ht="14.25" customHeight="1" x14ac:dyDescent="0.3">
      <c r="D66" s="73">
        <f>510/951</f>
        <v>0.5362776025236593</v>
      </c>
      <c r="O66" s="33"/>
    </row>
    <row r="67" spans="4:15" ht="14.25" customHeight="1" x14ac:dyDescent="0.3">
      <c r="D67" s="33"/>
    </row>
    <row r="68" spans="4:15" ht="14.25" customHeight="1" x14ac:dyDescent="0.3"/>
    <row r="69" spans="4:15" ht="14.25" customHeight="1" x14ac:dyDescent="0.3"/>
    <row r="70" spans="4:15" ht="14.25" customHeight="1" x14ac:dyDescent="0.3"/>
    <row r="71" spans="4:15" ht="14.25" customHeight="1" x14ac:dyDescent="0.3"/>
    <row r="72" spans="4:15" ht="14.25" customHeight="1" x14ac:dyDescent="0.3"/>
    <row r="73" spans="4:15" ht="14.25" customHeight="1" x14ac:dyDescent="0.3"/>
    <row r="74" spans="4:15" ht="14.25" customHeight="1" x14ac:dyDescent="0.3"/>
    <row r="75" spans="4:15" ht="14.25" customHeight="1" x14ac:dyDescent="0.3"/>
    <row r="76" spans="4:15" ht="14.25" customHeight="1" x14ac:dyDescent="0.3"/>
    <row r="77" spans="4:15" ht="14.25" customHeight="1" x14ac:dyDescent="0.3"/>
    <row r="78" spans="4:15" ht="14.25" customHeight="1" x14ac:dyDescent="0.3"/>
    <row r="79" spans="4:15" ht="14.25" customHeight="1" x14ac:dyDescent="0.3"/>
    <row r="80" spans="4:15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A1:P1"/>
    <mergeCell ref="A2:P2"/>
    <mergeCell ref="Q3:Q4"/>
    <mergeCell ref="K65:N6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84"/>
  <sheetViews>
    <sheetView workbookViewId="0">
      <pane xSplit="2" ySplit="5" topLeftCell="C54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4.44140625" defaultRowHeight="15" customHeight="1" x14ac:dyDescent="0.3"/>
  <cols>
    <col min="1" max="1" width="8" customWidth="1"/>
    <col min="2" max="2" width="36.6640625" customWidth="1"/>
    <col min="3" max="4" width="20" customWidth="1"/>
    <col min="5" max="5" width="18.33203125" customWidth="1"/>
    <col min="6" max="14" width="17.109375" customWidth="1"/>
    <col min="15" max="16" width="18.33203125" customWidth="1"/>
    <col min="17" max="17" width="10" hidden="1" customWidth="1"/>
    <col min="18" max="18" width="12.44140625" customWidth="1"/>
    <col min="19" max="26" width="8" customWidth="1"/>
  </cols>
  <sheetData>
    <row r="1" spans="1:26" ht="22.5" customHeight="1" x14ac:dyDescent="0.4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.5" customHeight="1" x14ac:dyDescent="0.4">
      <c r="A2" s="145" t="s">
        <v>3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3"/>
      <c r="B3" s="4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147" t="s">
        <v>17</v>
      </c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">
      <c r="A4" s="3"/>
      <c r="B4" s="4"/>
      <c r="C4" s="7"/>
      <c r="D4" s="7"/>
      <c r="E4" s="7">
        <v>0.1</v>
      </c>
      <c r="F4" s="7">
        <v>0.05</v>
      </c>
      <c r="G4" s="7">
        <v>0.05</v>
      </c>
      <c r="H4" s="7">
        <v>0.1</v>
      </c>
      <c r="I4" s="7">
        <v>0.05</v>
      </c>
      <c r="J4" s="7">
        <v>0.05</v>
      </c>
      <c r="K4" s="7">
        <v>0.05</v>
      </c>
      <c r="L4" s="7">
        <v>0.05</v>
      </c>
      <c r="M4" s="7">
        <v>0.1</v>
      </c>
      <c r="N4" s="7">
        <v>0.1</v>
      </c>
      <c r="O4" s="7">
        <v>0.15</v>
      </c>
      <c r="P4" s="7">
        <v>0.15</v>
      </c>
      <c r="Q4" s="148"/>
      <c r="R4" s="3"/>
      <c r="S4" s="3"/>
      <c r="T4" s="3"/>
      <c r="U4" s="3"/>
      <c r="V4" s="3"/>
      <c r="W4" s="3"/>
      <c r="X4" s="3"/>
      <c r="Y4" s="3"/>
      <c r="Z4" s="3"/>
    </row>
    <row r="5" spans="1:26" ht="18" customHeight="1" x14ac:dyDescent="0.3">
      <c r="A5" s="12" t="s">
        <v>18</v>
      </c>
      <c r="B5" s="12" t="s">
        <v>19</v>
      </c>
      <c r="C5" s="17" t="s">
        <v>1</v>
      </c>
      <c r="D5" s="16" t="s">
        <v>2</v>
      </c>
      <c r="E5" s="16" t="s">
        <v>4</v>
      </c>
      <c r="F5" s="16" t="s">
        <v>5</v>
      </c>
      <c r="G5" s="16" t="s">
        <v>6</v>
      </c>
      <c r="H5" s="16" t="s">
        <v>7</v>
      </c>
      <c r="I5" s="16" t="s">
        <v>8</v>
      </c>
      <c r="J5" s="16" t="s">
        <v>9</v>
      </c>
      <c r="K5" s="16" t="s">
        <v>10</v>
      </c>
      <c r="L5" s="16" t="s">
        <v>11</v>
      </c>
      <c r="M5" s="16" t="s">
        <v>12</v>
      </c>
      <c r="N5" s="16" t="s">
        <v>13</v>
      </c>
      <c r="O5" s="16" t="s">
        <v>14</v>
      </c>
      <c r="P5" s="16" t="s">
        <v>15</v>
      </c>
      <c r="Q5" s="148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18" t="s">
        <v>24</v>
      </c>
      <c r="B6" s="19" t="s">
        <v>28</v>
      </c>
      <c r="C6" s="23">
        <v>10</v>
      </c>
      <c r="D6" s="24">
        <f t="shared" ref="D6:P6" si="0">D7+D17+D28+D33</f>
        <v>1056360135463</v>
      </c>
      <c r="E6" s="24">
        <f t="shared" si="0"/>
        <v>105636013546.30002</v>
      </c>
      <c r="F6" s="24">
        <f t="shared" si="0"/>
        <v>52818006773.150009</v>
      </c>
      <c r="G6" s="24">
        <f t="shared" si="0"/>
        <v>52818006773.150009</v>
      </c>
      <c r="H6" s="24">
        <f t="shared" si="0"/>
        <v>105636013546.30002</v>
      </c>
      <c r="I6" s="24">
        <f t="shared" si="0"/>
        <v>52818006773.150009</v>
      </c>
      <c r="J6" s="24">
        <f t="shared" si="0"/>
        <v>52818006773.150009</v>
      </c>
      <c r="K6" s="24">
        <f t="shared" si="0"/>
        <v>52818006773.150009</v>
      </c>
      <c r="L6" s="24">
        <f t="shared" si="0"/>
        <v>52818006773.150009</v>
      </c>
      <c r="M6" s="24">
        <f t="shared" si="0"/>
        <v>105636013546.30002</v>
      </c>
      <c r="N6" s="24">
        <f t="shared" si="0"/>
        <v>105636013546.30002</v>
      </c>
      <c r="O6" s="24">
        <f t="shared" si="0"/>
        <v>158454020319.45001</v>
      </c>
      <c r="P6" s="24">
        <f t="shared" si="0"/>
        <v>158454020319.45001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28" t="s">
        <v>33</v>
      </c>
      <c r="B7" s="29" t="s">
        <v>35</v>
      </c>
      <c r="C7" s="31"/>
      <c r="D7" s="34">
        <v>590857427166</v>
      </c>
      <c r="E7" s="34">
        <f t="shared" ref="E7:P7" si="1">$D7*E$4</f>
        <v>59085742716.600006</v>
      </c>
      <c r="F7" s="34">
        <f t="shared" si="1"/>
        <v>29542871358.300003</v>
      </c>
      <c r="G7" s="34">
        <f t="shared" si="1"/>
        <v>29542871358.300003</v>
      </c>
      <c r="H7" s="34">
        <f t="shared" si="1"/>
        <v>59085742716.600006</v>
      </c>
      <c r="I7" s="34">
        <f t="shared" si="1"/>
        <v>29542871358.300003</v>
      </c>
      <c r="J7" s="34">
        <f t="shared" si="1"/>
        <v>29542871358.300003</v>
      </c>
      <c r="K7" s="34">
        <f t="shared" si="1"/>
        <v>29542871358.300003</v>
      </c>
      <c r="L7" s="34">
        <f t="shared" si="1"/>
        <v>29542871358.300003</v>
      </c>
      <c r="M7" s="34">
        <f t="shared" si="1"/>
        <v>59085742716.600006</v>
      </c>
      <c r="N7" s="34">
        <f t="shared" si="1"/>
        <v>59085742716.600006</v>
      </c>
      <c r="O7" s="34">
        <f t="shared" si="1"/>
        <v>88628614074.899994</v>
      </c>
      <c r="P7" s="34">
        <f t="shared" si="1"/>
        <v>88628614074.899994</v>
      </c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 x14ac:dyDescent="0.3">
      <c r="A8" s="26">
        <v>1</v>
      </c>
      <c r="B8" s="27" t="s">
        <v>41</v>
      </c>
      <c r="C8" s="38"/>
      <c r="D8" s="11">
        <v>300303525992</v>
      </c>
      <c r="E8" s="11">
        <f t="shared" ref="E8:P8" si="2">$D8*E$4</f>
        <v>30030352599.200001</v>
      </c>
      <c r="F8" s="11">
        <f t="shared" si="2"/>
        <v>15015176299.6</v>
      </c>
      <c r="G8" s="11">
        <f t="shared" si="2"/>
        <v>15015176299.6</v>
      </c>
      <c r="H8" s="11">
        <f t="shared" si="2"/>
        <v>30030352599.200001</v>
      </c>
      <c r="I8" s="11">
        <f t="shared" si="2"/>
        <v>15015176299.6</v>
      </c>
      <c r="J8" s="11">
        <f t="shared" si="2"/>
        <v>15015176299.6</v>
      </c>
      <c r="K8" s="11">
        <f t="shared" si="2"/>
        <v>15015176299.6</v>
      </c>
      <c r="L8" s="11">
        <f t="shared" si="2"/>
        <v>15015176299.6</v>
      </c>
      <c r="M8" s="11">
        <f t="shared" si="2"/>
        <v>30030352599.200001</v>
      </c>
      <c r="N8" s="11">
        <f t="shared" si="2"/>
        <v>30030352599.200001</v>
      </c>
      <c r="O8" s="11">
        <f t="shared" si="2"/>
        <v>45045528898.799995</v>
      </c>
      <c r="P8" s="11">
        <f t="shared" si="2"/>
        <v>45045528898.799995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26">
        <v>2</v>
      </c>
      <c r="B9" s="27" t="s">
        <v>43</v>
      </c>
      <c r="C9" s="38"/>
      <c r="D9" s="11">
        <v>142444141017</v>
      </c>
      <c r="E9" s="11">
        <f t="shared" ref="E9:P9" si="3">$D9*E$4</f>
        <v>14244414101.700001</v>
      </c>
      <c r="F9" s="11">
        <f t="shared" si="3"/>
        <v>7122207050.8500004</v>
      </c>
      <c r="G9" s="11">
        <f t="shared" si="3"/>
        <v>7122207050.8500004</v>
      </c>
      <c r="H9" s="11">
        <f t="shared" si="3"/>
        <v>14244414101.700001</v>
      </c>
      <c r="I9" s="11">
        <f t="shared" si="3"/>
        <v>7122207050.8500004</v>
      </c>
      <c r="J9" s="11">
        <f t="shared" si="3"/>
        <v>7122207050.8500004</v>
      </c>
      <c r="K9" s="11">
        <f t="shared" si="3"/>
        <v>7122207050.8500004</v>
      </c>
      <c r="L9" s="11">
        <f t="shared" si="3"/>
        <v>7122207050.8500004</v>
      </c>
      <c r="M9" s="11">
        <f t="shared" si="3"/>
        <v>14244414101.700001</v>
      </c>
      <c r="N9" s="11">
        <f t="shared" si="3"/>
        <v>14244414101.700001</v>
      </c>
      <c r="O9" s="11">
        <f t="shared" si="3"/>
        <v>21366621152.549999</v>
      </c>
      <c r="P9" s="11">
        <f t="shared" si="3"/>
        <v>21366621152.549999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26">
        <v>3</v>
      </c>
      <c r="B10" s="27" t="s">
        <v>46</v>
      </c>
      <c r="C10" s="38"/>
      <c r="D10" s="11">
        <v>10174538685</v>
      </c>
      <c r="E10" s="11">
        <f t="shared" ref="E10:P10" si="4">$D10*E$4</f>
        <v>1017453868.5</v>
      </c>
      <c r="F10" s="11">
        <f t="shared" si="4"/>
        <v>508726934.25</v>
      </c>
      <c r="G10" s="11">
        <f t="shared" si="4"/>
        <v>508726934.25</v>
      </c>
      <c r="H10" s="11">
        <f t="shared" si="4"/>
        <v>1017453868.5</v>
      </c>
      <c r="I10" s="11">
        <f t="shared" si="4"/>
        <v>508726934.25</v>
      </c>
      <c r="J10" s="11">
        <f t="shared" si="4"/>
        <v>508726934.25</v>
      </c>
      <c r="K10" s="11">
        <f t="shared" si="4"/>
        <v>508726934.25</v>
      </c>
      <c r="L10" s="11">
        <f t="shared" si="4"/>
        <v>508726934.25</v>
      </c>
      <c r="M10" s="11">
        <f t="shared" si="4"/>
        <v>1017453868.5</v>
      </c>
      <c r="N10" s="11">
        <f t="shared" si="4"/>
        <v>1017453868.5</v>
      </c>
      <c r="O10" s="11">
        <f t="shared" si="4"/>
        <v>1526180802.75</v>
      </c>
      <c r="P10" s="11">
        <f t="shared" si="4"/>
        <v>1526180802.75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26">
        <v>4</v>
      </c>
      <c r="B11" s="27" t="s">
        <v>50</v>
      </c>
      <c r="C11" s="38"/>
      <c r="D11" s="11">
        <v>216246622</v>
      </c>
      <c r="E11" s="11">
        <f t="shared" ref="E11:P11" si="5">$D11*E$4</f>
        <v>21624662.200000003</v>
      </c>
      <c r="F11" s="11">
        <f t="shared" si="5"/>
        <v>10812331.100000001</v>
      </c>
      <c r="G11" s="11">
        <f t="shared" si="5"/>
        <v>10812331.100000001</v>
      </c>
      <c r="H11" s="11">
        <f t="shared" si="5"/>
        <v>21624662.200000003</v>
      </c>
      <c r="I11" s="11">
        <f t="shared" si="5"/>
        <v>10812331.100000001</v>
      </c>
      <c r="J11" s="11">
        <f t="shared" si="5"/>
        <v>10812331.100000001</v>
      </c>
      <c r="K11" s="11">
        <f t="shared" si="5"/>
        <v>10812331.100000001</v>
      </c>
      <c r="L11" s="11">
        <f t="shared" si="5"/>
        <v>10812331.100000001</v>
      </c>
      <c r="M11" s="11">
        <f t="shared" si="5"/>
        <v>21624662.200000003</v>
      </c>
      <c r="N11" s="11">
        <f t="shared" si="5"/>
        <v>21624662.200000003</v>
      </c>
      <c r="O11" s="11">
        <f t="shared" si="5"/>
        <v>32436993.299999997</v>
      </c>
      <c r="P11" s="11">
        <f t="shared" si="5"/>
        <v>32436993.299999997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26">
        <v>5</v>
      </c>
      <c r="B12" s="27" t="s">
        <v>52</v>
      </c>
      <c r="C12" s="38"/>
      <c r="D12" s="11">
        <v>15989041250</v>
      </c>
      <c r="E12" s="11">
        <f t="shared" ref="E12:P12" si="6">$D12*E$4</f>
        <v>1598904125</v>
      </c>
      <c r="F12" s="11">
        <f t="shared" si="6"/>
        <v>799452062.5</v>
      </c>
      <c r="G12" s="11">
        <f t="shared" si="6"/>
        <v>799452062.5</v>
      </c>
      <c r="H12" s="11">
        <f t="shared" si="6"/>
        <v>1598904125</v>
      </c>
      <c r="I12" s="11">
        <f t="shared" si="6"/>
        <v>799452062.5</v>
      </c>
      <c r="J12" s="11">
        <f t="shared" si="6"/>
        <v>799452062.5</v>
      </c>
      <c r="K12" s="11">
        <f t="shared" si="6"/>
        <v>799452062.5</v>
      </c>
      <c r="L12" s="11">
        <f t="shared" si="6"/>
        <v>799452062.5</v>
      </c>
      <c r="M12" s="11">
        <f t="shared" si="6"/>
        <v>1598904125</v>
      </c>
      <c r="N12" s="11">
        <f t="shared" si="6"/>
        <v>1598904125</v>
      </c>
      <c r="O12" s="11">
        <f t="shared" si="6"/>
        <v>2398356187.5</v>
      </c>
      <c r="P12" s="11">
        <f t="shared" si="6"/>
        <v>2398356187.5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26">
        <v>6</v>
      </c>
      <c r="B13" s="27" t="s">
        <v>55</v>
      </c>
      <c r="C13" s="38"/>
      <c r="D13" s="11">
        <v>112522314607</v>
      </c>
      <c r="E13" s="11">
        <f t="shared" ref="E13:P13" si="7">$D13*E$4</f>
        <v>11252231460.700001</v>
      </c>
      <c r="F13" s="11">
        <f t="shared" si="7"/>
        <v>5626115730.3500004</v>
      </c>
      <c r="G13" s="11">
        <f t="shared" si="7"/>
        <v>5626115730.3500004</v>
      </c>
      <c r="H13" s="11">
        <f t="shared" si="7"/>
        <v>11252231460.700001</v>
      </c>
      <c r="I13" s="11">
        <f t="shared" si="7"/>
        <v>5626115730.3500004</v>
      </c>
      <c r="J13" s="11">
        <f t="shared" si="7"/>
        <v>5626115730.3500004</v>
      </c>
      <c r="K13" s="11">
        <f t="shared" si="7"/>
        <v>5626115730.3500004</v>
      </c>
      <c r="L13" s="11">
        <f t="shared" si="7"/>
        <v>5626115730.3500004</v>
      </c>
      <c r="M13" s="11">
        <f t="shared" si="7"/>
        <v>11252231460.700001</v>
      </c>
      <c r="N13" s="11">
        <f t="shared" si="7"/>
        <v>11252231460.700001</v>
      </c>
      <c r="O13" s="11">
        <f t="shared" si="7"/>
        <v>16878347191.049999</v>
      </c>
      <c r="P13" s="11">
        <f t="shared" si="7"/>
        <v>16878347191.049999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26">
        <v>7</v>
      </c>
      <c r="B14" s="27" t="s">
        <v>56</v>
      </c>
      <c r="C14" s="38"/>
      <c r="D14" s="11">
        <v>4660537310</v>
      </c>
      <c r="E14" s="11">
        <f t="shared" ref="E14:P14" si="8">$D14*E$4</f>
        <v>466053731</v>
      </c>
      <c r="F14" s="11">
        <f t="shared" si="8"/>
        <v>233026865.5</v>
      </c>
      <c r="G14" s="11">
        <f t="shared" si="8"/>
        <v>233026865.5</v>
      </c>
      <c r="H14" s="11">
        <f t="shared" si="8"/>
        <v>466053731</v>
      </c>
      <c r="I14" s="11">
        <f t="shared" si="8"/>
        <v>233026865.5</v>
      </c>
      <c r="J14" s="11">
        <f t="shared" si="8"/>
        <v>233026865.5</v>
      </c>
      <c r="K14" s="11">
        <f t="shared" si="8"/>
        <v>233026865.5</v>
      </c>
      <c r="L14" s="11">
        <f t="shared" si="8"/>
        <v>233026865.5</v>
      </c>
      <c r="M14" s="11">
        <f t="shared" si="8"/>
        <v>466053731</v>
      </c>
      <c r="N14" s="11">
        <f t="shared" si="8"/>
        <v>466053731</v>
      </c>
      <c r="O14" s="11">
        <f t="shared" si="8"/>
        <v>699080596.5</v>
      </c>
      <c r="P14" s="11">
        <f t="shared" si="8"/>
        <v>699080596.5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26">
        <v>8</v>
      </c>
      <c r="B15" s="27" t="s">
        <v>60</v>
      </c>
      <c r="C15" s="38"/>
      <c r="D15" s="11">
        <v>901271933</v>
      </c>
      <c r="E15" s="11">
        <f t="shared" ref="E15:P15" si="9">$D15*E$4</f>
        <v>90127193.300000012</v>
      </c>
      <c r="F15" s="11">
        <f t="shared" si="9"/>
        <v>45063596.650000006</v>
      </c>
      <c r="G15" s="11">
        <f t="shared" si="9"/>
        <v>45063596.650000006</v>
      </c>
      <c r="H15" s="11">
        <f t="shared" si="9"/>
        <v>90127193.300000012</v>
      </c>
      <c r="I15" s="11">
        <f t="shared" si="9"/>
        <v>45063596.650000006</v>
      </c>
      <c r="J15" s="11">
        <f t="shared" si="9"/>
        <v>45063596.650000006</v>
      </c>
      <c r="K15" s="11">
        <f t="shared" si="9"/>
        <v>45063596.650000006</v>
      </c>
      <c r="L15" s="11">
        <f t="shared" si="9"/>
        <v>45063596.650000006</v>
      </c>
      <c r="M15" s="11">
        <f t="shared" si="9"/>
        <v>90127193.300000012</v>
      </c>
      <c r="N15" s="11">
        <f t="shared" si="9"/>
        <v>90127193.300000012</v>
      </c>
      <c r="O15" s="11">
        <f t="shared" si="9"/>
        <v>135190789.94999999</v>
      </c>
      <c r="P15" s="11">
        <f t="shared" si="9"/>
        <v>135190789.94999999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26">
        <v>9</v>
      </c>
      <c r="B16" s="27" t="s">
        <v>62</v>
      </c>
      <c r="C16" s="38"/>
      <c r="D16" s="11">
        <v>3645809750</v>
      </c>
      <c r="E16" s="11">
        <f t="shared" ref="E16:P16" si="10">$D16*E$4</f>
        <v>364580975</v>
      </c>
      <c r="F16" s="11">
        <f t="shared" si="10"/>
        <v>182290487.5</v>
      </c>
      <c r="G16" s="11">
        <f t="shared" si="10"/>
        <v>182290487.5</v>
      </c>
      <c r="H16" s="11">
        <f t="shared" si="10"/>
        <v>364580975</v>
      </c>
      <c r="I16" s="11">
        <f t="shared" si="10"/>
        <v>182290487.5</v>
      </c>
      <c r="J16" s="11">
        <f t="shared" si="10"/>
        <v>182290487.5</v>
      </c>
      <c r="K16" s="11">
        <f t="shared" si="10"/>
        <v>182290487.5</v>
      </c>
      <c r="L16" s="11">
        <f t="shared" si="10"/>
        <v>182290487.5</v>
      </c>
      <c r="M16" s="11">
        <f t="shared" si="10"/>
        <v>364580975</v>
      </c>
      <c r="N16" s="11">
        <f t="shared" si="10"/>
        <v>364580975</v>
      </c>
      <c r="O16" s="11">
        <f t="shared" si="10"/>
        <v>546871462.5</v>
      </c>
      <c r="P16" s="11">
        <f t="shared" si="10"/>
        <v>546871462.5</v>
      </c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15.75" customHeight="1" x14ac:dyDescent="0.3">
      <c r="A17" s="28" t="s">
        <v>64</v>
      </c>
      <c r="B17" s="29" t="s">
        <v>65</v>
      </c>
      <c r="C17" s="31"/>
      <c r="D17" s="34">
        <v>463797273377</v>
      </c>
      <c r="E17" s="34">
        <f t="shared" ref="E17:P17" si="11">$D17*E$4</f>
        <v>46379727337.700005</v>
      </c>
      <c r="F17" s="34">
        <f t="shared" si="11"/>
        <v>23189863668.850002</v>
      </c>
      <c r="G17" s="34">
        <f t="shared" si="11"/>
        <v>23189863668.850002</v>
      </c>
      <c r="H17" s="34">
        <f t="shared" si="11"/>
        <v>46379727337.700005</v>
      </c>
      <c r="I17" s="34">
        <f t="shared" si="11"/>
        <v>23189863668.850002</v>
      </c>
      <c r="J17" s="34">
        <f t="shared" si="11"/>
        <v>23189863668.850002</v>
      </c>
      <c r="K17" s="34">
        <f t="shared" si="11"/>
        <v>23189863668.850002</v>
      </c>
      <c r="L17" s="34">
        <f t="shared" si="11"/>
        <v>23189863668.850002</v>
      </c>
      <c r="M17" s="34">
        <f t="shared" si="11"/>
        <v>46379727337.700005</v>
      </c>
      <c r="N17" s="34">
        <f t="shared" si="11"/>
        <v>46379727337.700005</v>
      </c>
      <c r="O17" s="34">
        <f t="shared" si="11"/>
        <v>69569591006.550003</v>
      </c>
      <c r="P17" s="34">
        <f t="shared" si="11"/>
        <v>69569591006.550003</v>
      </c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 x14ac:dyDescent="0.3">
      <c r="A18" s="26">
        <v>1</v>
      </c>
      <c r="B18" s="27" t="s">
        <v>41</v>
      </c>
      <c r="C18" s="38"/>
      <c r="D18" s="11">
        <v>306319835681</v>
      </c>
      <c r="E18" s="11">
        <f t="shared" ref="E18:P18" si="12">$D18*E$4</f>
        <v>30631983568.100002</v>
      </c>
      <c r="F18" s="11">
        <f t="shared" si="12"/>
        <v>15315991784.050001</v>
      </c>
      <c r="G18" s="11">
        <f t="shared" si="12"/>
        <v>15315991784.050001</v>
      </c>
      <c r="H18" s="11">
        <f t="shared" si="12"/>
        <v>30631983568.100002</v>
      </c>
      <c r="I18" s="11">
        <f t="shared" si="12"/>
        <v>15315991784.050001</v>
      </c>
      <c r="J18" s="11">
        <f t="shared" si="12"/>
        <v>15315991784.050001</v>
      </c>
      <c r="K18" s="11">
        <f t="shared" si="12"/>
        <v>15315991784.050001</v>
      </c>
      <c r="L18" s="11">
        <f t="shared" si="12"/>
        <v>15315991784.050001</v>
      </c>
      <c r="M18" s="11">
        <f t="shared" si="12"/>
        <v>30631983568.100002</v>
      </c>
      <c r="N18" s="11">
        <f t="shared" si="12"/>
        <v>30631983568.100002</v>
      </c>
      <c r="O18" s="11">
        <f t="shared" si="12"/>
        <v>45947975352.150002</v>
      </c>
      <c r="P18" s="11">
        <f t="shared" si="12"/>
        <v>45947975352.150002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26">
        <v>2</v>
      </c>
      <c r="B19" s="27" t="s">
        <v>43</v>
      </c>
      <c r="C19" s="38"/>
      <c r="D19" s="11">
        <v>109992457510</v>
      </c>
      <c r="E19" s="11">
        <f t="shared" ref="E19:P19" si="13">$D19*E$4</f>
        <v>10999245751</v>
      </c>
      <c r="F19" s="11">
        <f t="shared" si="13"/>
        <v>5499622875.5</v>
      </c>
      <c r="G19" s="11">
        <f t="shared" si="13"/>
        <v>5499622875.5</v>
      </c>
      <c r="H19" s="11">
        <f t="shared" si="13"/>
        <v>10999245751</v>
      </c>
      <c r="I19" s="11">
        <f t="shared" si="13"/>
        <v>5499622875.5</v>
      </c>
      <c r="J19" s="11">
        <f t="shared" si="13"/>
        <v>5499622875.5</v>
      </c>
      <c r="K19" s="11">
        <f t="shared" si="13"/>
        <v>5499622875.5</v>
      </c>
      <c r="L19" s="11">
        <f t="shared" si="13"/>
        <v>5499622875.5</v>
      </c>
      <c r="M19" s="11">
        <f t="shared" si="13"/>
        <v>10999245751</v>
      </c>
      <c r="N19" s="11">
        <f t="shared" si="13"/>
        <v>10999245751</v>
      </c>
      <c r="O19" s="11">
        <f t="shared" si="13"/>
        <v>16498868626.5</v>
      </c>
      <c r="P19" s="11">
        <f t="shared" si="13"/>
        <v>16498868626.5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26"/>
      <c r="B20" s="27" t="s">
        <v>46</v>
      </c>
      <c r="C20" s="38"/>
      <c r="D20" s="11">
        <v>11158642658</v>
      </c>
      <c r="E20" s="11">
        <f t="shared" ref="E20:P20" si="14">$D20*E$4</f>
        <v>1115864265.8</v>
      </c>
      <c r="F20" s="11">
        <f t="shared" si="14"/>
        <v>557932132.89999998</v>
      </c>
      <c r="G20" s="11">
        <f t="shared" si="14"/>
        <v>557932132.89999998</v>
      </c>
      <c r="H20" s="11">
        <f t="shared" si="14"/>
        <v>1115864265.8</v>
      </c>
      <c r="I20" s="11">
        <f t="shared" si="14"/>
        <v>557932132.89999998</v>
      </c>
      <c r="J20" s="11">
        <f t="shared" si="14"/>
        <v>557932132.89999998</v>
      </c>
      <c r="K20" s="11">
        <f t="shared" si="14"/>
        <v>557932132.89999998</v>
      </c>
      <c r="L20" s="11">
        <f t="shared" si="14"/>
        <v>557932132.89999998</v>
      </c>
      <c r="M20" s="11">
        <f t="shared" si="14"/>
        <v>1115864265.8</v>
      </c>
      <c r="N20" s="11">
        <f t="shared" si="14"/>
        <v>1115864265.8</v>
      </c>
      <c r="O20" s="11">
        <f t="shared" si="14"/>
        <v>1673796398.7</v>
      </c>
      <c r="P20" s="11">
        <f t="shared" si="14"/>
        <v>1673796398.7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26"/>
      <c r="B21" s="27" t="s">
        <v>50</v>
      </c>
      <c r="C21" s="38"/>
      <c r="D21" s="11">
        <v>357332224</v>
      </c>
      <c r="E21" s="11">
        <f t="shared" ref="E21:P21" si="15">$D21*E$4</f>
        <v>35733222.399999999</v>
      </c>
      <c r="F21" s="11">
        <f t="shared" si="15"/>
        <v>17866611.199999999</v>
      </c>
      <c r="G21" s="11">
        <f t="shared" si="15"/>
        <v>17866611.199999999</v>
      </c>
      <c r="H21" s="11">
        <f t="shared" si="15"/>
        <v>35733222.399999999</v>
      </c>
      <c r="I21" s="11">
        <f t="shared" si="15"/>
        <v>17866611.199999999</v>
      </c>
      <c r="J21" s="11">
        <f t="shared" si="15"/>
        <v>17866611.199999999</v>
      </c>
      <c r="K21" s="11">
        <f t="shared" si="15"/>
        <v>17866611.199999999</v>
      </c>
      <c r="L21" s="11">
        <f t="shared" si="15"/>
        <v>17866611.199999999</v>
      </c>
      <c r="M21" s="11">
        <f t="shared" si="15"/>
        <v>35733222.399999999</v>
      </c>
      <c r="N21" s="11">
        <f t="shared" si="15"/>
        <v>35733222.399999999</v>
      </c>
      <c r="O21" s="11">
        <f t="shared" si="15"/>
        <v>53599833.600000001</v>
      </c>
      <c r="P21" s="11">
        <f t="shared" si="15"/>
        <v>53599833.600000001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26"/>
      <c r="B22" s="27" t="s">
        <v>78</v>
      </c>
      <c r="C22" s="38"/>
      <c r="D22" s="11">
        <v>2093522</v>
      </c>
      <c r="E22" s="11">
        <f t="shared" ref="E22:P22" si="16">$D22*E$4</f>
        <v>209352.2</v>
      </c>
      <c r="F22" s="11">
        <f t="shared" si="16"/>
        <v>104676.1</v>
      </c>
      <c r="G22" s="11">
        <f t="shared" si="16"/>
        <v>104676.1</v>
      </c>
      <c r="H22" s="11">
        <f t="shared" si="16"/>
        <v>209352.2</v>
      </c>
      <c r="I22" s="11">
        <f t="shared" si="16"/>
        <v>104676.1</v>
      </c>
      <c r="J22" s="11">
        <f t="shared" si="16"/>
        <v>104676.1</v>
      </c>
      <c r="K22" s="11">
        <f t="shared" si="16"/>
        <v>104676.1</v>
      </c>
      <c r="L22" s="11">
        <f t="shared" si="16"/>
        <v>104676.1</v>
      </c>
      <c r="M22" s="11">
        <f t="shared" si="16"/>
        <v>209352.2</v>
      </c>
      <c r="N22" s="11">
        <f t="shared" si="16"/>
        <v>209352.2</v>
      </c>
      <c r="O22" s="11">
        <f t="shared" si="16"/>
        <v>314028.3</v>
      </c>
      <c r="P22" s="11">
        <f t="shared" si="16"/>
        <v>314028.3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26"/>
      <c r="B23" s="27" t="s">
        <v>55</v>
      </c>
      <c r="C23" s="38"/>
      <c r="D23" s="11">
        <v>15088523115</v>
      </c>
      <c r="E23" s="11">
        <f t="shared" ref="E23:P23" si="17">$D23*E$4</f>
        <v>1508852311.5</v>
      </c>
      <c r="F23" s="11">
        <f t="shared" si="17"/>
        <v>754426155.75</v>
      </c>
      <c r="G23" s="11">
        <f t="shared" si="17"/>
        <v>754426155.75</v>
      </c>
      <c r="H23" s="11">
        <f t="shared" si="17"/>
        <v>1508852311.5</v>
      </c>
      <c r="I23" s="11">
        <f t="shared" si="17"/>
        <v>754426155.75</v>
      </c>
      <c r="J23" s="11">
        <f t="shared" si="17"/>
        <v>754426155.75</v>
      </c>
      <c r="K23" s="11">
        <f t="shared" si="17"/>
        <v>754426155.75</v>
      </c>
      <c r="L23" s="11">
        <f t="shared" si="17"/>
        <v>754426155.75</v>
      </c>
      <c r="M23" s="11">
        <f t="shared" si="17"/>
        <v>1508852311.5</v>
      </c>
      <c r="N23" s="11">
        <f t="shared" si="17"/>
        <v>1508852311.5</v>
      </c>
      <c r="O23" s="11">
        <f t="shared" si="17"/>
        <v>2263278467.25</v>
      </c>
      <c r="P23" s="11">
        <f t="shared" si="17"/>
        <v>2263278467.25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26"/>
      <c r="B24" s="27" t="s">
        <v>56</v>
      </c>
      <c r="C24" s="38"/>
      <c r="D24" s="11">
        <v>11474527848</v>
      </c>
      <c r="E24" s="11">
        <f t="shared" ref="E24:P24" si="18">$D24*E$4</f>
        <v>1147452784.8</v>
      </c>
      <c r="F24" s="11">
        <f t="shared" si="18"/>
        <v>573726392.39999998</v>
      </c>
      <c r="G24" s="11">
        <f t="shared" si="18"/>
        <v>573726392.39999998</v>
      </c>
      <c r="H24" s="11">
        <f t="shared" si="18"/>
        <v>1147452784.8</v>
      </c>
      <c r="I24" s="11">
        <f t="shared" si="18"/>
        <v>573726392.39999998</v>
      </c>
      <c r="J24" s="11">
        <f t="shared" si="18"/>
        <v>573726392.39999998</v>
      </c>
      <c r="K24" s="11">
        <f t="shared" si="18"/>
        <v>573726392.39999998</v>
      </c>
      <c r="L24" s="11">
        <f t="shared" si="18"/>
        <v>573726392.39999998</v>
      </c>
      <c r="M24" s="11">
        <f t="shared" si="18"/>
        <v>1147452784.8</v>
      </c>
      <c r="N24" s="11">
        <f t="shared" si="18"/>
        <v>1147452784.8</v>
      </c>
      <c r="O24" s="11">
        <f t="shared" si="18"/>
        <v>1721179177.2</v>
      </c>
      <c r="P24" s="11">
        <f t="shared" si="18"/>
        <v>1721179177.2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26"/>
      <c r="B25" s="27" t="s">
        <v>60</v>
      </c>
      <c r="C25" s="38"/>
      <c r="D25" s="11">
        <v>5803330888</v>
      </c>
      <c r="E25" s="11">
        <f t="shared" ref="E25:P25" si="19">$D25*E$4</f>
        <v>580333088.80000007</v>
      </c>
      <c r="F25" s="11">
        <f t="shared" si="19"/>
        <v>290166544.40000004</v>
      </c>
      <c r="G25" s="11">
        <f t="shared" si="19"/>
        <v>290166544.40000004</v>
      </c>
      <c r="H25" s="11">
        <f t="shared" si="19"/>
        <v>580333088.80000007</v>
      </c>
      <c r="I25" s="11">
        <f t="shared" si="19"/>
        <v>290166544.40000004</v>
      </c>
      <c r="J25" s="11">
        <f t="shared" si="19"/>
        <v>290166544.40000004</v>
      </c>
      <c r="K25" s="11">
        <f t="shared" si="19"/>
        <v>290166544.40000004</v>
      </c>
      <c r="L25" s="11">
        <f t="shared" si="19"/>
        <v>290166544.40000004</v>
      </c>
      <c r="M25" s="11">
        <f t="shared" si="19"/>
        <v>580333088.80000007</v>
      </c>
      <c r="N25" s="11">
        <f t="shared" si="19"/>
        <v>580333088.80000007</v>
      </c>
      <c r="O25" s="11">
        <f t="shared" si="19"/>
        <v>870499633.19999993</v>
      </c>
      <c r="P25" s="11">
        <f t="shared" si="19"/>
        <v>870499633.19999993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26"/>
      <c r="B26" s="27" t="s">
        <v>91</v>
      </c>
      <c r="C26" s="38"/>
      <c r="D26" s="11">
        <v>224923968</v>
      </c>
      <c r="E26" s="11">
        <f t="shared" ref="E26:P26" si="20">$D26*E$4</f>
        <v>22492396.800000001</v>
      </c>
      <c r="F26" s="11">
        <f t="shared" si="20"/>
        <v>11246198.4</v>
      </c>
      <c r="G26" s="11">
        <f t="shared" si="20"/>
        <v>11246198.4</v>
      </c>
      <c r="H26" s="11">
        <f t="shared" si="20"/>
        <v>22492396.800000001</v>
      </c>
      <c r="I26" s="11">
        <f t="shared" si="20"/>
        <v>11246198.4</v>
      </c>
      <c r="J26" s="11">
        <f t="shared" si="20"/>
        <v>11246198.4</v>
      </c>
      <c r="K26" s="11">
        <f t="shared" si="20"/>
        <v>11246198.4</v>
      </c>
      <c r="L26" s="11">
        <f t="shared" si="20"/>
        <v>11246198.4</v>
      </c>
      <c r="M26" s="11">
        <f t="shared" si="20"/>
        <v>22492396.800000001</v>
      </c>
      <c r="N26" s="11">
        <f t="shared" si="20"/>
        <v>22492396.800000001</v>
      </c>
      <c r="O26" s="11">
        <f t="shared" si="20"/>
        <v>33738595.199999996</v>
      </c>
      <c r="P26" s="11">
        <f t="shared" si="20"/>
        <v>33738595.199999996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26"/>
      <c r="B27" s="27" t="s">
        <v>62</v>
      </c>
      <c r="C27" s="38"/>
      <c r="D27" s="11">
        <f>D17-SUM(D18:D26)</f>
        <v>3375605963</v>
      </c>
      <c r="E27" s="11">
        <f t="shared" ref="E27:P27" si="21">$D27*E$4</f>
        <v>337560596.30000001</v>
      </c>
      <c r="F27" s="11">
        <f t="shared" si="21"/>
        <v>168780298.15000001</v>
      </c>
      <c r="G27" s="11">
        <f t="shared" si="21"/>
        <v>168780298.15000001</v>
      </c>
      <c r="H27" s="11">
        <f t="shared" si="21"/>
        <v>337560596.30000001</v>
      </c>
      <c r="I27" s="11">
        <f t="shared" si="21"/>
        <v>168780298.15000001</v>
      </c>
      <c r="J27" s="11">
        <f t="shared" si="21"/>
        <v>168780298.15000001</v>
      </c>
      <c r="K27" s="11">
        <f t="shared" si="21"/>
        <v>168780298.15000001</v>
      </c>
      <c r="L27" s="11">
        <f t="shared" si="21"/>
        <v>168780298.15000001</v>
      </c>
      <c r="M27" s="11">
        <f t="shared" si="21"/>
        <v>337560596.30000001</v>
      </c>
      <c r="N27" s="11">
        <f t="shared" si="21"/>
        <v>337560596.30000001</v>
      </c>
      <c r="O27" s="11">
        <f t="shared" si="21"/>
        <v>506340894.44999999</v>
      </c>
      <c r="P27" s="11">
        <f t="shared" si="21"/>
        <v>506340894.44999999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28" t="s">
        <v>98</v>
      </c>
      <c r="B28" s="29" t="s">
        <v>99</v>
      </c>
      <c r="C28" s="31"/>
      <c r="D28" s="34">
        <v>1705434920</v>
      </c>
      <c r="E28" s="34">
        <f t="shared" ref="E28:P28" si="22">$D28*E$4</f>
        <v>170543492</v>
      </c>
      <c r="F28" s="34">
        <f t="shared" si="22"/>
        <v>85271746</v>
      </c>
      <c r="G28" s="34">
        <f t="shared" si="22"/>
        <v>85271746</v>
      </c>
      <c r="H28" s="34">
        <f t="shared" si="22"/>
        <v>170543492</v>
      </c>
      <c r="I28" s="34">
        <f t="shared" si="22"/>
        <v>85271746</v>
      </c>
      <c r="J28" s="34">
        <f t="shared" si="22"/>
        <v>85271746</v>
      </c>
      <c r="K28" s="34">
        <f t="shared" si="22"/>
        <v>85271746</v>
      </c>
      <c r="L28" s="34">
        <f t="shared" si="22"/>
        <v>85271746</v>
      </c>
      <c r="M28" s="34">
        <f t="shared" si="22"/>
        <v>170543492</v>
      </c>
      <c r="N28" s="34">
        <f t="shared" si="22"/>
        <v>170543492</v>
      </c>
      <c r="O28" s="34">
        <f t="shared" si="22"/>
        <v>255815238</v>
      </c>
      <c r="P28" s="34">
        <f t="shared" si="22"/>
        <v>255815238</v>
      </c>
      <c r="Q28" s="49"/>
      <c r="R28" s="53"/>
      <c r="S28" s="49"/>
      <c r="T28" s="49"/>
      <c r="U28" s="49"/>
      <c r="V28" s="49"/>
      <c r="W28" s="49"/>
      <c r="X28" s="49"/>
      <c r="Y28" s="49"/>
      <c r="Z28" s="49"/>
    </row>
    <row r="29" spans="1:26" ht="15.75" customHeight="1" x14ac:dyDescent="0.3">
      <c r="A29" s="47"/>
      <c r="B29" s="27" t="s">
        <v>101</v>
      </c>
      <c r="C29" s="38"/>
      <c r="D29" s="11">
        <f>D28-D30-D31</f>
        <v>1286224777</v>
      </c>
      <c r="E29" s="11">
        <f t="shared" ref="E29:P29" si="23">$D29*E$4</f>
        <v>128622477.7</v>
      </c>
      <c r="F29" s="11">
        <f t="shared" si="23"/>
        <v>64311238.850000001</v>
      </c>
      <c r="G29" s="11">
        <f t="shared" si="23"/>
        <v>64311238.850000001</v>
      </c>
      <c r="H29" s="11">
        <f t="shared" si="23"/>
        <v>128622477.7</v>
      </c>
      <c r="I29" s="11">
        <f t="shared" si="23"/>
        <v>64311238.850000001</v>
      </c>
      <c r="J29" s="11">
        <f t="shared" si="23"/>
        <v>64311238.850000001</v>
      </c>
      <c r="K29" s="11">
        <f t="shared" si="23"/>
        <v>64311238.850000001</v>
      </c>
      <c r="L29" s="11">
        <f t="shared" si="23"/>
        <v>64311238.850000001</v>
      </c>
      <c r="M29" s="11">
        <f t="shared" si="23"/>
        <v>128622477.7</v>
      </c>
      <c r="N29" s="11">
        <f t="shared" si="23"/>
        <v>128622477.7</v>
      </c>
      <c r="O29" s="11">
        <f t="shared" si="23"/>
        <v>192933716.54999998</v>
      </c>
      <c r="P29" s="11">
        <f t="shared" si="23"/>
        <v>192933716.54999998</v>
      </c>
      <c r="Q29" s="49"/>
      <c r="R29" s="53"/>
      <c r="S29" s="49"/>
      <c r="T29" s="49"/>
      <c r="U29" s="49"/>
      <c r="V29" s="49"/>
      <c r="W29" s="49"/>
      <c r="X29" s="49"/>
      <c r="Y29" s="49"/>
      <c r="Z29" s="49"/>
    </row>
    <row r="30" spans="1:26" ht="15.75" customHeight="1" x14ac:dyDescent="0.3">
      <c r="A30" s="47"/>
      <c r="B30" s="27" t="s">
        <v>103</v>
      </c>
      <c r="C30" s="38"/>
      <c r="D30" s="11">
        <v>30250000</v>
      </c>
      <c r="E30" s="11">
        <f t="shared" ref="E30:P30" si="24">$D30*E$4</f>
        <v>3025000</v>
      </c>
      <c r="F30" s="11">
        <f t="shared" si="24"/>
        <v>1512500</v>
      </c>
      <c r="G30" s="11">
        <f t="shared" si="24"/>
        <v>1512500</v>
      </c>
      <c r="H30" s="11">
        <f t="shared" si="24"/>
        <v>3025000</v>
      </c>
      <c r="I30" s="11">
        <f t="shared" si="24"/>
        <v>1512500</v>
      </c>
      <c r="J30" s="11">
        <f t="shared" si="24"/>
        <v>1512500</v>
      </c>
      <c r="K30" s="11">
        <f t="shared" si="24"/>
        <v>1512500</v>
      </c>
      <c r="L30" s="11">
        <f t="shared" si="24"/>
        <v>1512500</v>
      </c>
      <c r="M30" s="11">
        <f t="shared" si="24"/>
        <v>3025000</v>
      </c>
      <c r="N30" s="11">
        <f t="shared" si="24"/>
        <v>3025000</v>
      </c>
      <c r="O30" s="11">
        <f t="shared" si="24"/>
        <v>4537500</v>
      </c>
      <c r="P30" s="11">
        <f t="shared" si="24"/>
        <v>4537500</v>
      </c>
      <c r="Q30" s="49"/>
      <c r="R30" s="53"/>
      <c r="S30" s="49"/>
      <c r="T30" s="49"/>
      <c r="U30" s="49"/>
      <c r="V30" s="49"/>
      <c r="W30" s="49"/>
      <c r="X30" s="49"/>
      <c r="Y30" s="49"/>
      <c r="Z30" s="49"/>
    </row>
    <row r="31" spans="1:26" ht="15.75" customHeight="1" x14ac:dyDescent="0.3">
      <c r="A31" s="47"/>
      <c r="B31" s="27" t="s">
        <v>106</v>
      </c>
      <c r="C31" s="38"/>
      <c r="D31" s="11">
        <v>388960143</v>
      </c>
      <c r="E31" s="11">
        <f t="shared" ref="E31:P31" si="25">$D31*E$4</f>
        <v>38896014.300000004</v>
      </c>
      <c r="F31" s="11">
        <f t="shared" si="25"/>
        <v>19448007.150000002</v>
      </c>
      <c r="G31" s="11">
        <f t="shared" si="25"/>
        <v>19448007.150000002</v>
      </c>
      <c r="H31" s="11">
        <f t="shared" si="25"/>
        <v>38896014.300000004</v>
      </c>
      <c r="I31" s="11">
        <f t="shared" si="25"/>
        <v>19448007.150000002</v>
      </c>
      <c r="J31" s="11">
        <f t="shared" si="25"/>
        <v>19448007.150000002</v>
      </c>
      <c r="K31" s="11">
        <f t="shared" si="25"/>
        <v>19448007.150000002</v>
      </c>
      <c r="L31" s="11">
        <f t="shared" si="25"/>
        <v>19448007.150000002</v>
      </c>
      <c r="M31" s="11">
        <f t="shared" si="25"/>
        <v>38896014.300000004</v>
      </c>
      <c r="N31" s="11">
        <f t="shared" si="25"/>
        <v>38896014.300000004</v>
      </c>
      <c r="O31" s="11">
        <f t="shared" si="25"/>
        <v>58344021.449999996</v>
      </c>
      <c r="P31" s="11">
        <f t="shared" si="25"/>
        <v>58344021.449999996</v>
      </c>
      <c r="Q31" s="49"/>
      <c r="R31" s="53"/>
      <c r="S31" s="49"/>
      <c r="T31" s="49"/>
      <c r="U31" s="49"/>
      <c r="V31" s="49"/>
      <c r="W31" s="49"/>
      <c r="X31" s="49"/>
      <c r="Y31" s="49"/>
      <c r="Z31" s="49"/>
    </row>
    <row r="32" spans="1:26" ht="15.75" customHeight="1" x14ac:dyDescent="0.3">
      <c r="A32" s="47"/>
      <c r="B32" s="50"/>
      <c r="C32" s="55"/>
      <c r="D32" s="51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49"/>
      <c r="R32" s="53"/>
      <c r="S32" s="49"/>
      <c r="T32" s="49"/>
      <c r="U32" s="49"/>
      <c r="V32" s="49"/>
      <c r="W32" s="49"/>
      <c r="X32" s="49"/>
      <c r="Y32" s="49"/>
      <c r="Z32" s="49"/>
    </row>
    <row r="33" spans="1:26" ht="15.75" customHeight="1" x14ac:dyDescent="0.3">
      <c r="A33" s="28" t="s">
        <v>111</v>
      </c>
      <c r="B33" s="29" t="s">
        <v>112</v>
      </c>
      <c r="C33" s="31"/>
      <c r="D33" s="34"/>
      <c r="E33" s="34">
        <f t="shared" ref="E33:P33" si="26">$D33*E$4</f>
        <v>0</v>
      </c>
      <c r="F33" s="34">
        <f t="shared" si="26"/>
        <v>0</v>
      </c>
      <c r="G33" s="34">
        <f t="shared" si="26"/>
        <v>0</v>
      </c>
      <c r="H33" s="34">
        <f t="shared" si="26"/>
        <v>0</v>
      </c>
      <c r="I33" s="34">
        <f t="shared" si="26"/>
        <v>0</v>
      </c>
      <c r="J33" s="34">
        <f t="shared" si="26"/>
        <v>0</v>
      </c>
      <c r="K33" s="34">
        <f t="shared" si="26"/>
        <v>0</v>
      </c>
      <c r="L33" s="34">
        <f t="shared" si="26"/>
        <v>0</v>
      </c>
      <c r="M33" s="34">
        <f t="shared" si="26"/>
        <v>0</v>
      </c>
      <c r="N33" s="34">
        <f t="shared" si="26"/>
        <v>0</v>
      </c>
      <c r="O33" s="34">
        <f t="shared" si="26"/>
        <v>0</v>
      </c>
      <c r="P33" s="34">
        <f t="shared" si="26"/>
        <v>0</v>
      </c>
      <c r="Q33" s="49"/>
      <c r="R33" s="53"/>
      <c r="S33" s="49"/>
      <c r="T33" s="49"/>
      <c r="U33" s="49"/>
      <c r="V33" s="49"/>
      <c r="W33" s="49"/>
      <c r="X33" s="49"/>
      <c r="Y33" s="49"/>
      <c r="Z33" s="49"/>
    </row>
    <row r="34" spans="1:26" ht="15.75" customHeight="1" x14ac:dyDescent="0.3">
      <c r="A34" s="47"/>
      <c r="B34" s="50"/>
      <c r="C34" s="55"/>
      <c r="D34" s="51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49"/>
      <c r="R34" s="53"/>
      <c r="S34" s="49"/>
      <c r="T34" s="49"/>
      <c r="U34" s="49"/>
      <c r="V34" s="49"/>
      <c r="W34" s="49"/>
      <c r="X34" s="49"/>
      <c r="Y34" s="49"/>
      <c r="Z34" s="49"/>
    </row>
    <row r="35" spans="1:26" ht="15.75" customHeight="1" x14ac:dyDescent="0.3">
      <c r="A35" s="47"/>
      <c r="B35" s="50"/>
      <c r="C35" s="55"/>
      <c r="D35" s="51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49"/>
      <c r="R35" s="53"/>
      <c r="S35" s="49"/>
      <c r="T35" s="49"/>
      <c r="U35" s="49"/>
      <c r="V35" s="49"/>
      <c r="W35" s="49"/>
      <c r="X35" s="49"/>
      <c r="Y35" s="49"/>
      <c r="Z35" s="49"/>
    </row>
    <row r="36" spans="1:26" ht="15.75" customHeight="1" x14ac:dyDescent="0.3">
      <c r="A36" s="47"/>
      <c r="B36" s="50"/>
      <c r="C36" s="55"/>
      <c r="D36" s="51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49"/>
      <c r="R36" s="53"/>
      <c r="S36" s="49"/>
      <c r="T36" s="49"/>
      <c r="U36" s="49"/>
      <c r="V36" s="49"/>
      <c r="W36" s="49"/>
      <c r="X36" s="49"/>
      <c r="Y36" s="49"/>
      <c r="Z36" s="49"/>
    </row>
    <row r="37" spans="1:26" ht="15.75" customHeight="1" x14ac:dyDescent="0.3">
      <c r="A37" s="47"/>
      <c r="B37" s="50"/>
      <c r="C37" s="55"/>
      <c r="D37" s="51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49"/>
      <c r="R37" s="53"/>
      <c r="S37" s="49"/>
      <c r="T37" s="49"/>
      <c r="U37" s="49"/>
      <c r="V37" s="49"/>
      <c r="W37" s="49"/>
      <c r="X37" s="49"/>
      <c r="Y37" s="49"/>
      <c r="Z37" s="49"/>
    </row>
    <row r="38" spans="1:26" ht="15.75" customHeight="1" x14ac:dyDescent="0.3">
      <c r="A38" s="47"/>
      <c r="B38" s="50"/>
      <c r="C38" s="55"/>
      <c r="D38" s="51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49"/>
      <c r="R38" s="53"/>
      <c r="S38" s="49"/>
      <c r="T38" s="49"/>
      <c r="U38" s="49"/>
      <c r="V38" s="49"/>
      <c r="W38" s="49"/>
      <c r="X38" s="49"/>
      <c r="Y38" s="49"/>
      <c r="Z38" s="49"/>
    </row>
    <row r="39" spans="1:26" ht="15.75" customHeight="1" x14ac:dyDescent="0.3">
      <c r="A39" s="47"/>
      <c r="B39" s="50"/>
      <c r="C39" s="55"/>
      <c r="D39" s="51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49"/>
      <c r="R39" s="53"/>
      <c r="S39" s="49"/>
      <c r="T39" s="49"/>
      <c r="U39" s="49"/>
      <c r="V39" s="49"/>
      <c r="W39" s="49"/>
      <c r="X39" s="49"/>
      <c r="Y39" s="49"/>
      <c r="Z39" s="49"/>
    </row>
    <row r="40" spans="1:26" ht="15.75" customHeight="1" x14ac:dyDescent="0.3">
      <c r="A40" s="18" t="s">
        <v>38</v>
      </c>
      <c r="B40" s="19" t="s">
        <v>69</v>
      </c>
      <c r="C40" s="23">
        <v>11</v>
      </c>
      <c r="D40" s="24">
        <v>887687350860.2749</v>
      </c>
      <c r="E40" s="24">
        <f t="shared" ref="E40:P40" si="27">$D40*E$4</f>
        <v>88768735086.027496</v>
      </c>
      <c r="F40" s="24">
        <f t="shared" si="27"/>
        <v>44384367543.013748</v>
      </c>
      <c r="G40" s="24">
        <f t="shared" si="27"/>
        <v>44384367543.013748</v>
      </c>
      <c r="H40" s="24">
        <f t="shared" si="27"/>
        <v>88768735086.027496</v>
      </c>
      <c r="I40" s="24">
        <f t="shared" si="27"/>
        <v>44384367543.013748</v>
      </c>
      <c r="J40" s="24">
        <f t="shared" si="27"/>
        <v>44384367543.013748</v>
      </c>
      <c r="K40" s="24">
        <f t="shared" si="27"/>
        <v>44384367543.013748</v>
      </c>
      <c r="L40" s="24">
        <f t="shared" si="27"/>
        <v>44384367543.013748</v>
      </c>
      <c r="M40" s="24">
        <f t="shared" si="27"/>
        <v>88768735086.027496</v>
      </c>
      <c r="N40" s="24">
        <f t="shared" si="27"/>
        <v>88768735086.027496</v>
      </c>
      <c r="O40" s="24">
        <f t="shared" si="27"/>
        <v>133153102629.04123</v>
      </c>
      <c r="P40" s="24">
        <f t="shared" si="27"/>
        <v>133153102629.04123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40" t="s">
        <v>33</v>
      </c>
      <c r="B41" s="41" t="s">
        <v>72</v>
      </c>
      <c r="C41" s="61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 x14ac:dyDescent="0.3">
      <c r="A42" s="26">
        <v>1</v>
      </c>
      <c r="B42" s="27" t="s">
        <v>30</v>
      </c>
      <c r="C42" s="38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 t="e">
        <f t="shared" ref="Q42:Q43" si="28">#REF!*Q45</f>
        <v>#REF!</v>
      </c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26">
        <v>2</v>
      </c>
      <c r="B43" s="27" t="s">
        <v>36</v>
      </c>
      <c r="C43" s="38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 t="e">
        <f t="shared" si="28"/>
        <v>#REF!</v>
      </c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5">
      <c r="A44" s="44"/>
      <c r="B44" s="45" t="s">
        <v>84</v>
      </c>
      <c r="C44" s="62"/>
      <c r="D44" s="32"/>
      <c r="E44" s="36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5.75" customHeight="1" x14ac:dyDescent="0.3">
      <c r="A45" s="47">
        <v>1</v>
      </c>
      <c r="B45" s="27" t="s">
        <v>30</v>
      </c>
      <c r="C45" s="63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5.75" customHeight="1" x14ac:dyDescent="0.3">
      <c r="A46" s="47">
        <v>2</v>
      </c>
      <c r="B46" s="27" t="s">
        <v>36</v>
      </c>
      <c r="C46" s="63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5.75" customHeight="1" x14ac:dyDescent="0.3">
      <c r="A47" s="40" t="s">
        <v>64</v>
      </c>
      <c r="B47" s="41" t="s">
        <v>90</v>
      </c>
      <c r="C47" s="61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4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 x14ac:dyDescent="0.3">
      <c r="A48" s="26">
        <v>1</v>
      </c>
      <c r="B48" s="27" t="s">
        <v>30</v>
      </c>
      <c r="C48" s="38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 t="e">
        <f t="shared" ref="Q48:Q49" si="29">#REF!*Q51</f>
        <v>#REF!</v>
      </c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26">
        <v>2</v>
      </c>
      <c r="B49" s="27" t="s">
        <v>36</v>
      </c>
      <c r="C49" s="38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 t="e">
        <f t="shared" si="29"/>
        <v>#REF!</v>
      </c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5">
      <c r="A50" s="40"/>
      <c r="B50" s="45" t="s">
        <v>110</v>
      </c>
      <c r="C50" s="61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4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 x14ac:dyDescent="0.3">
      <c r="A51" s="47">
        <v>1</v>
      </c>
      <c r="B51" s="27" t="s">
        <v>30</v>
      </c>
      <c r="C51" s="63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5.75" customHeight="1" x14ac:dyDescent="0.3">
      <c r="A52" s="47">
        <v>2</v>
      </c>
      <c r="B52" s="27" t="s">
        <v>36</v>
      </c>
      <c r="C52" s="63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5.75" customHeight="1" x14ac:dyDescent="0.3">
      <c r="A53" s="18" t="s">
        <v>45</v>
      </c>
      <c r="B53" s="19" t="s">
        <v>95</v>
      </c>
      <c r="C53" s="23">
        <v>20</v>
      </c>
      <c r="D53" s="24">
        <f t="shared" ref="D53:P53" si="30">D6-D40</f>
        <v>168672784602.7251</v>
      </c>
      <c r="E53" s="24">
        <f t="shared" si="30"/>
        <v>16867278460.272522</v>
      </c>
      <c r="F53" s="24">
        <f t="shared" si="30"/>
        <v>8433639230.136261</v>
      </c>
      <c r="G53" s="24">
        <f t="shared" si="30"/>
        <v>8433639230.136261</v>
      </c>
      <c r="H53" s="24">
        <f t="shared" si="30"/>
        <v>16867278460.272522</v>
      </c>
      <c r="I53" s="24">
        <f t="shared" si="30"/>
        <v>8433639230.136261</v>
      </c>
      <c r="J53" s="24">
        <f t="shared" si="30"/>
        <v>8433639230.136261</v>
      </c>
      <c r="K53" s="24">
        <f t="shared" si="30"/>
        <v>8433639230.136261</v>
      </c>
      <c r="L53" s="24">
        <f t="shared" si="30"/>
        <v>8433639230.136261</v>
      </c>
      <c r="M53" s="24">
        <f t="shared" si="30"/>
        <v>16867278460.272522</v>
      </c>
      <c r="N53" s="24">
        <f t="shared" si="30"/>
        <v>16867278460.272522</v>
      </c>
      <c r="O53" s="24">
        <f t="shared" si="30"/>
        <v>25300917690.408783</v>
      </c>
      <c r="P53" s="24">
        <f t="shared" si="30"/>
        <v>25300917690.408783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26"/>
      <c r="B54" s="50" t="s">
        <v>100</v>
      </c>
      <c r="C54" s="75"/>
      <c r="D54" s="76">
        <f>D53/D6</f>
        <v>0.15967356107090905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18" t="s">
        <v>67</v>
      </c>
      <c r="B55" s="19" t="s">
        <v>105</v>
      </c>
      <c r="C55" s="23">
        <v>22</v>
      </c>
      <c r="D55" s="24">
        <v>1971691663.2240462</v>
      </c>
      <c r="E55" s="24">
        <f t="shared" ref="E55:P55" si="31">$D55*E$4</f>
        <v>197169166.32240462</v>
      </c>
      <c r="F55" s="24">
        <f t="shared" si="31"/>
        <v>98584583.161202312</v>
      </c>
      <c r="G55" s="24">
        <f t="shared" si="31"/>
        <v>98584583.161202312</v>
      </c>
      <c r="H55" s="24">
        <f t="shared" si="31"/>
        <v>197169166.32240462</v>
      </c>
      <c r="I55" s="24">
        <f t="shared" si="31"/>
        <v>98584583.161202312</v>
      </c>
      <c r="J55" s="24">
        <f t="shared" si="31"/>
        <v>98584583.161202312</v>
      </c>
      <c r="K55" s="24">
        <f t="shared" si="31"/>
        <v>98584583.161202312</v>
      </c>
      <c r="L55" s="24">
        <f t="shared" si="31"/>
        <v>98584583.161202312</v>
      </c>
      <c r="M55" s="24">
        <f t="shared" si="31"/>
        <v>197169166.32240462</v>
      </c>
      <c r="N55" s="24">
        <f t="shared" si="31"/>
        <v>197169166.32240462</v>
      </c>
      <c r="O55" s="24">
        <f t="shared" si="31"/>
        <v>295753749.48360693</v>
      </c>
      <c r="P55" s="24">
        <f t="shared" si="31"/>
        <v>295753749.48360693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18" t="s">
        <v>93</v>
      </c>
      <c r="B56" s="19" t="s">
        <v>109</v>
      </c>
      <c r="C56" s="23">
        <v>23</v>
      </c>
      <c r="D56" s="24">
        <v>31629800258.082077</v>
      </c>
      <c r="E56" s="24">
        <f t="shared" ref="E56:P56" si="32">$D56*E$4</f>
        <v>3162980025.808208</v>
      </c>
      <c r="F56" s="24">
        <f t="shared" si="32"/>
        <v>1581490012.904104</v>
      </c>
      <c r="G56" s="24">
        <f t="shared" si="32"/>
        <v>1581490012.904104</v>
      </c>
      <c r="H56" s="24">
        <f t="shared" si="32"/>
        <v>3162980025.808208</v>
      </c>
      <c r="I56" s="24">
        <f t="shared" si="32"/>
        <v>1581490012.904104</v>
      </c>
      <c r="J56" s="24">
        <f t="shared" si="32"/>
        <v>1581490012.904104</v>
      </c>
      <c r="K56" s="24">
        <f t="shared" si="32"/>
        <v>1581490012.904104</v>
      </c>
      <c r="L56" s="24">
        <f t="shared" si="32"/>
        <v>1581490012.904104</v>
      </c>
      <c r="M56" s="24">
        <f t="shared" si="32"/>
        <v>3162980025.808208</v>
      </c>
      <c r="N56" s="24">
        <f t="shared" si="32"/>
        <v>3162980025.808208</v>
      </c>
      <c r="O56" s="24">
        <f t="shared" si="32"/>
        <v>4744470038.7123117</v>
      </c>
      <c r="P56" s="24">
        <f t="shared" si="32"/>
        <v>4744470038.7123117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18"/>
      <c r="B57" s="78" t="s">
        <v>161</v>
      </c>
      <c r="C57" s="79">
        <v>24</v>
      </c>
      <c r="D57" s="80">
        <v>31624417220.357746</v>
      </c>
      <c r="E57" s="80">
        <f t="shared" ref="E57:P57" si="33">$D57*E$4</f>
        <v>3162441722.0357747</v>
      </c>
      <c r="F57" s="80">
        <f t="shared" si="33"/>
        <v>1581220861.0178874</v>
      </c>
      <c r="G57" s="80">
        <f t="shared" si="33"/>
        <v>1581220861.0178874</v>
      </c>
      <c r="H57" s="80">
        <f t="shared" si="33"/>
        <v>3162441722.0357747</v>
      </c>
      <c r="I57" s="80">
        <f t="shared" si="33"/>
        <v>1581220861.0178874</v>
      </c>
      <c r="J57" s="80">
        <f t="shared" si="33"/>
        <v>1581220861.0178874</v>
      </c>
      <c r="K57" s="80">
        <f t="shared" si="33"/>
        <v>1581220861.0178874</v>
      </c>
      <c r="L57" s="80">
        <f t="shared" si="33"/>
        <v>1581220861.0178874</v>
      </c>
      <c r="M57" s="80">
        <f t="shared" si="33"/>
        <v>3162441722.0357747</v>
      </c>
      <c r="N57" s="80">
        <f t="shared" si="33"/>
        <v>3162441722.0357747</v>
      </c>
      <c r="O57" s="80">
        <f t="shared" si="33"/>
        <v>4743662583.0536613</v>
      </c>
      <c r="P57" s="80">
        <f t="shared" si="33"/>
        <v>4743662583.0536613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18" t="s">
        <v>104</v>
      </c>
      <c r="B58" s="19" t="s">
        <v>116</v>
      </c>
      <c r="C58" s="23">
        <v>25</v>
      </c>
      <c r="D58" s="24">
        <v>31690804063.885498</v>
      </c>
      <c r="E58" s="24">
        <f t="shared" ref="E58:P58" si="34">$D58*E$4</f>
        <v>3169080406.3885498</v>
      </c>
      <c r="F58" s="24">
        <f t="shared" si="34"/>
        <v>1584540203.1942749</v>
      </c>
      <c r="G58" s="24">
        <f t="shared" si="34"/>
        <v>1584540203.1942749</v>
      </c>
      <c r="H58" s="24">
        <f t="shared" si="34"/>
        <v>3169080406.3885498</v>
      </c>
      <c r="I58" s="24">
        <f t="shared" si="34"/>
        <v>1584540203.1942749</v>
      </c>
      <c r="J58" s="24">
        <f t="shared" si="34"/>
        <v>1584540203.1942749</v>
      </c>
      <c r="K58" s="24">
        <f t="shared" si="34"/>
        <v>1584540203.1942749</v>
      </c>
      <c r="L58" s="24">
        <f t="shared" si="34"/>
        <v>1584540203.1942749</v>
      </c>
      <c r="M58" s="24">
        <f t="shared" si="34"/>
        <v>3169080406.3885498</v>
      </c>
      <c r="N58" s="24">
        <f t="shared" si="34"/>
        <v>3169080406.3885498</v>
      </c>
      <c r="O58" s="24">
        <f t="shared" si="34"/>
        <v>4753620609.5828247</v>
      </c>
      <c r="P58" s="24">
        <f t="shared" si="34"/>
        <v>4753620609.5828247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18" t="s">
        <v>108</v>
      </c>
      <c r="B59" s="19" t="s">
        <v>120</v>
      </c>
      <c r="C59" s="23">
        <v>26</v>
      </c>
      <c r="D59" s="24">
        <v>31690804063.885498</v>
      </c>
      <c r="E59" s="24">
        <f t="shared" ref="E59:P59" si="35">$D59*E$4</f>
        <v>3169080406.3885498</v>
      </c>
      <c r="F59" s="24">
        <f t="shared" si="35"/>
        <v>1584540203.1942749</v>
      </c>
      <c r="G59" s="24">
        <f t="shared" si="35"/>
        <v>1584540203.1942749</v>
      </c>
      <c r="H59" s="24">
        <f t="shared" si="35"/>
        <v>3169080406.3885498</v>
      </c>
      <c r="I59" s="24">
        <f t="shared" si="35"/>
        <v>1584540203.1942749</v>
      </c>
      <c r="J59" s="24">
        <f t="shared" si="35"/>
        <v>1584540203.1942749</v>
      </c>
      <c r="K59" s="24">
        <f t="shared" si="35"/>
        <v>1584540203.1942749</v>
      </c>
      <c r="L59" s="24">
        <f t="shared" si="35"/>
        <v>1584540203.1942749</v>
      </c>
      <c r="M59" s="24">
        <f t="shared" si="35"/>
        <v>3169080406.3885498</v>
      </c>
      <c r="N59" s="24">
        <f t="shared" si="35"/>
        <v>3169080406.3885498</v>
      </c>
      <c r="O59" s="24">
        <f t="shared" si="35"/>
        <v>4753620609.5828247</v>
      </c>
      <c r="P59" s="24">
        <f t="shared" si="35"/>
        <v>4753620609.5828247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58" t="s">
        <v>115</v>
      </c>
      <c r="B60" s="59" t="s">
        <v>124</v>
      </c>
      <c r="C60" s="23">
        <v>30</v>
      </c>
      <c r="D60" s="24">
        <f t="shared" ref="D60:P60" si="36">D53+D55-D56-D58-D59</f>
        <v>75633067880.096069</v>
      </c>
      <c r="E60" s="24">
        <f t="shared" si="36"/>
        <v>7563306788.0096188</v>
      </c>
      <c r="F60" s="24">
        <f t="shared" si="36"/>
        <v>3781653394.0048094</v>
      </c>
      <c r="G60" s="24">
        <f t="shared" si="36"/>
        <v>3781653394.0048094</v>
      </c>
      <c r="H60" s="24">
        <f t="shared" si="36"/>
        <v>7563306788.0096188</v>
      </c>
      <c r="I60" s="24">
        <f t="shared" si="36"/>
        <v>3781653394.0048094</v>
      </c>
      <c r="J60" s="24">
        <f t="shared" si="36"/>
        <v>3781653394.0048094</v>
      </c>
      <c r="K60" s="24">
        <f t="shared" si="36"/>
        <v>3781653394.0048094</v>
      </c>
      <c r="L60" s="24">
        <f t="shared" si="36"/>
        <v>3781653394.0048094</v>
      </c>
      <c r="M60" s="24">
        <f t="shared" si="36"/>
        <v>7563306788.0096188</v>
      </c>
      <c r="N60" s="24">
        <f t="shared" si="36"/>
        <v>7563306788.0096188</v>
      </c>
      <c r="O60" s="24">
        <f t="shared" si="36"/>
        <v>11344960182.014431</v>
      </c>
      <c r="P60" s="24">
        <f t="shared" si="36"/>
        <v>11344960182.014431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26"/>
      <c r="B61" s="27" t="s">
        <v>130</v>
      </c>
      <c r="C61" s="38">
        <v>31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customHeight="1" x14ac:dyDescent="0.3">
      <c r="A62" s="26"/>
      <c r="B62" s="27" t="s">
        <v>133</v>
      </c>
      <c r="C62" s="38">
        <v>32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81" t="s">
        <v>33</v>
      </c>
      <c r="B63" s="82" t="s">
        <v>172</v>
      </c>
      <c r="C63" s="23">
        <v>40</v>
      </c>
      <c r="D63" s="83">
        <f>D61+D62</f>
        <v>0</v>
      </c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58" t="s">
        <v>123</v>
      </c>
      <c r="B64" s="84" t="s">
        <v>142</v>
      </c>
      <c r="C64" s="23">
        <v>50</v>
      </c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85" t="s">
        <v>136</v>
      </c>
      <c r="B65" s="59" t="s">
        <v>178</v>
      </c>
      <c r="C65" s="23">
        <v>51</v>
      </c>
      <c r="D65" s="24">
        <v>15126613577</v>
      </c>
      <c r="E65" s="24">
        <f t="shared" ref="E65:P65" si="37">E60*20%</f>
        <v>1512661357.6019239</v>
      </c>
      <c r="F65" s="24">
        <f t="shared" si="37"/>
        <v>756330678.80096197</v>
      </c>
      <c r="G65" s="24">
        <f t="shared" si="37"/>
        <v>756330678.80096197</v>
      </c>
      <c r="H65" s="24">
        <f t="shared" si="37"/>
        <v>1512661357.6019239</v>
      </c>
      <c r="I65" s="24">
        <f t="shared" si="37"/>
        <v>756330678.80096197</v>
      </c>
      <c r="J65" s="24">
        <f t="shared" si="37"/>
        <v>756330678.80096197</v>
      </c>
      <c r="K65" s="24">
        <f t="shared" si="37"/>
        <v>756330678.80096197</v>
      </c>
      <c r="L65" s="24">
        <f t="shared" si="37"/>
        <v>756330678.80096197</v>
      </c>
      <c r="M65" s="24">
        <f t="shared" si="37"/>
        <v>1512661357.6019239</v>
      </c>
      <c r="N65" s="24">
        <f t="shared" si="37"/>
        <v>1512661357.6019239</v>
      </c>
      <c r="O65" s="24">
        <f t="shared" si="37"/>
        <v>2268992036.4028864</v>
      </c>
      <c r="P65" s="24">
        <f t="shared" si="37"/>
        <v>2268992036.4028864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86" t="s">
        <v>140</v>
      </c>
      <c r="B66" s="65" t="s">
        <v>142</v>
      </c>
      <c r="C66" s="87">
        <v>60</v>
      </c>
      <c r="D66" s="67">
        <f t="shared" ref="D66:P66" si="38">D60-D65</f>
        <v>60506454303.096069</v>
      </c>
      <c r="E66" s="67">
        <f t="shared" si="38"/>
        <v>6050645430.4076948</v>
      </c>
      <c r="F66" s="67">
        <f t="shared" si="38"/>
        <v>3025322715.2038474</v>
      </c>
      <c r="G66" s="67">
        <f t="shared" si="38"/>
        <v>3025322715.2038474</v>
      </c>
      <c r="H66" s="67">
        <f t="shared" si="38"/>
        <v>6050645430.4076948</v>
      </c>
      <c r="I66" s="67">
        <f t="shared" si="38"/>
        <v>3025322715.2038474</v>
      </c>
      <c r="J66" s="67">
        <f t="shared" si="38"/>
        <v>3025322715.2038474</v>
      </c>
      <c r="K66" s="67">
        <f t="shared" si="38"/>
        <v>3025322715.2038474</v>
      </c>
      <c r="L66" s="67">
        <f t="shared" si="38"/>
        <v>3025322715.2038474</v>
      </c>
      <c r="M66" s="67">
        <f t="shared" si="38"/>
        <v>6050645430.4076948</v>
      </c>
      <c r="N66" s="67">
        <f t="shared" si="38"/>
        <v>6050645430.4076948</v>
      </c>
      <c r="O66" s="67">
        <f t="shared" si="38"/>
        <v>9075968145.6115456</v>
      </c>
      <c r="P66" s="67">
        <f t="shared" si="38"/>
        <v>9075968145.6115456</v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68" t="s">
        <v>184</v>
      </c>
      <c r="B67" s="19" t="s">
        <v>185</v>
      </c>
      <c r="C67" s="23"/>
      <c r="D67" s="24">
        <f>D66+D65+D57</f>
        <v>107257485100.45381</v>
      </c>
      <c r="E67" s="24">
        <f t="shared" ref="E67:P67" si="39">$D67*E$4</f>
        <v>10725748510.045382</v>
      </c>
      <c r="F67" s="24">
        <f t="shared" si="39"/>
        <v>5362874255.0226908</v>
      </c>
      <c r="G67" s="24">
        <f t="shared" si="39"/>
        <v>5362874255.0226908</v>
      </c>
      <c r="H67" s="24">
        <f t="shared" si="39"/>
        <v>10725748510.045382</v>
      </c>
      <c r="I67" s="24">
        <f t="shared" si="39"/>
        <v>5362874255.0226908</v>
      </c>
      <c r="J67" s="24">
        <f t="shared" si="39"/>
        <v>5362874255.0226908</v>
      </c>
      <c r="K67" s="24">
        <f t="shared" si="39"/>
        <v>5362874255.0226908</v>
      </c>
      <c r="L67" s="24">
        <f t="shared" si="39"/>
        <v>5362874255.0226908</v>
      </c>
      <c r="M67" s="24">
        <f t="shared" si="39"/>
        <v>10725748510.045382</v>
      </c>
      <c r="N67" s="24">
        <f t="shared" si="39"/>
        <v>10725748510.045382</v>
      </c>
      <c r="O67" s="24">
        <f t="shared" si="39"/>
        <v>16088622765.068071</v>
      </c>
      <c r="P67" s="24">
        <f t="shared" si="39"/>
        <v>16088622765.068071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 x14ac:dyDescent="0.3">
      <c r="A68" s="68" t="s">
        <v>189</v>
      </c>
      <c r="B68" s="69" t="s">
        <v>146</v>
      </c>
      <c r="C68" s="93"/>
      <c r="D68" s="71">
        <f>D67+LCTT_pa1!C4</f>
        <v>116589996984.45381</v>
      </c>
      <c r="E68" s="71">
        <f t="shared" ref="E68:P68" si="40">$D68*E$4</f>
        <v>11658999698.445381</v>
      </c>
      <c r="F68" s="71">
        <f t="shared" si="40"/>
        <v>5829499849.2226906</v>
      </c>
      <c r="G68" s="71">
        <f t="shared" si="40"/>
        <v>5829499849.2226906</v>
      </c>
      <c r="H68" s="71">
        <f t="shared" si="40"/>
        <v>11658999698.445381</v>
      </c>
      <c r="I68" s="71">
        <f t="shared" si="40"/>
        <v>5829499849.2226906</v>
      </c>
      <c r="J68" s="71">
        <f t="shared" si="40"/>
        <v>5829499849.2226906</v>
      </c>
      <c r="K68" s="71">
        <f t="shared" si="40"/>
        <v>5829499849.2226906</v>
      </c>
      <c r="L68" s="71">
        <f t="shared" si="40"/>
        <v>5829499849.2226906</v>
      </c>
      <c r="M68" s="71">
        <f t="shared" si="40"/>
        <v>11658999698.445381</v>
      </c>
      <c r="N68" s="71">
        <f t="shared" si="40"/>
        <v>11658999698.445381</v>
      </c>
      <c r="O68" s="71">
        <f t="shared" si="40"/>
        <v>17488499547.668072</v>
      </c>
      <c r="P68" s="71">
        <f t="shared" si="40"/>
        <v>17488499547.668072</v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 x14ac:dyDescent="0.3">
      <c r="A69" s="3"/>
      <c r="B69" s="3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 x14ac:dyDescent="0.3">
      <c r="A70" s="3"/>
      <c r="B70" s="3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4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104"/>
      <c r="D81" s="10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2.5" customHeight="1" x14ac:dyDescent="0.4">
      <c r="A86" s="3"/>
      <c r="B86" s="3"/>
      <c r="C86" s="7"/>
      <c r="D86" s="7"/>
      <c r="E86" s="7"/>
      <c r="F86" s="7"/>
      <c r="G86" s="7"/>
      <c r="H86" s="7"/>
      <c r="I86" s="7"/>
      <c r="J86" s="7"/>
      <c r="K86" s="7"/>
      <c r="L86" s="7"/>
      <c r="M86" s="113"/>
      <c r="N86" s="7"/>
      <c r="O86" s="7"/>
      <c r="P86" s="7"/>
      <c r="Q86" s="7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4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4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2.5" customHeight="1" x14ac:dyDescent="0.4">
      <c r="A90" s="3"/>
      <c r="B90" s="3"/>
      <c r="C90" s="4"/>
      <c r="D90" s="4"/>
      <c r="E90" s="3"/>
      <c r="F90" s="3"/>
      <c r="G90" s="3"/>
      <c r="H90" s="3"/>
      <c r="I90" s="3"/>
      <c r="J90" s="3"/>
      <c r="K90" s="3"/>
      <c r="L90" s="118"/>
      <c r="M90" s="118"/>
      <c r="N90" s="118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</sheetData>
  <mergeCells count="3">
    <mergeCell ref="A1:P1"/>
    <mergeCell ref="A2:P2"/>
    <mergeCell ref="Q3:Q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 x14ac:dyDescent="0.3"/>
  <cols>
    <col min="1" max="1" width="8" customWidth="1"/>
    <col min="2" max="2" width="51.5546875" customWidth="1"/>
    <col min="3" max="16" width="22.6640625" customWidth="1"/>
    <col min="17" max="27" width="8" customWidth="1"/>
  </cols>
  <sheetData>
    <row r="1" spans="1:27" x14ac:dyDescent="0.3">
      <c r="A1" s="1"/>
      <c r="B1" s="1"/>
      <c r="C1" s="2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x14ac:dyDescent="0.3">
      <c r="A2" s="8"/>
      <c r="B2" s="9" t="s">
        <v>16</v>
      </c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3">
      <c r="A3" s="8">
        <v>100</v>
      </c>
      <c r="B3" s="9" t="s">
        <v>21</v>
      </c>
      <c r="C3" s="14">
        <v>100</v>
      </c>
      <c r="D3" s="15">
        <v>703627308418.5802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3">
      <c r="A4" s="8">
        <v>110</v>
      </c>
      <c r="B4" s="9" t="s">
        <v>23</v>
      </c>
      <c r="C4" s="14">
        <v>110</v>
      </c>
      <c r="D4" s="15">
        <v>70374630620.202301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3">
      <c r="A5" s="21">
        <v>111</v>
      </c>
      <c r="B5" s="22" t="s">
        <v>27</v>
      </c>
      <c r="C5" s="10">
        <v>111</v>
      </c>
      <c r="D5" s="11">
        <v>70374630620.202301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x14ac:dyDescent="0.3">
      <c r="A6" s="21">
        <v>112</v>
      </c>
      <c r="B6" s="22" t="s">
        <v>29</v>
      </c>
      <c r="C6" s="10">
        <v>112</v>
      </c>
      <c r="D6" s="11">
        <v>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x14ac:dyDescent="0.3">
      <c r="A7" s="8">
        <v>120</v>
      </c>
      <c r="B7" s="9" t="s">
        <v>32</v>
      </c>
      <c r="C7" s="14">
        <v>120</v>
      </c>
      <c r="D7" s="15">
        <v>28209952541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" customHeight="1" x14ac:dyDescent="0.35">
      <c r="A8" s="21">
        <v>121</v>
      </c>
      <c r="B8" s="22" t="s">
        <v>34</v>
      </c>
      <c r="C8" s="30">
        <v>121</v>
      </c>
      <c r="D8" s="32">
        <v>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3">
      <c r="A9" s="21">
        <v>122</v>
      </c>
      <c r="B9" s="22" t="s">
        <v>37</v>
      </c>
      <c r="C9" s="35">
        <v>122</v>
      </c>
      <c r="D9" s="36">
        <v>0</v>
      </c>
      <c r="E9" s="36"/>
      <c r="F9" s="36"/>
      <c r="G9" s="11"/>
      <c r="H9" s="36"/>
      <c r="I9" s="36"/>
      <c r="J9" s="36"/>
      <c r="K9" s="36"/>
      <c r="L9" s="36"/>
      <c r="M9" s="36"/>
      <c r="N9" s="36"/>
      <c r="O9" s="36"/>
      <c r="P9" s="3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3">
      <c r="A10" s="21">
        <v>123</v>
      </c>
      <c r="B10" s="22" t="s">
        <v>40</v>
      </c>
      <c r="C10" s="10">
        <v>123</v>
      </c>
      <c r="D10" s="11">
        <v>28209952541</v>
      </c>
      <c r="E10" s="36"/>
      <c r="F10" s="36"/>
      <c r="G10" s="11"/>
      <c r="H10" s="36"/>
      <c r="I10" s="36"/>
      <c r="J10" s="36"/>
      <c r="K10" s="36"/>
      <c r="L10" s="36"/>
      <c r="M10" s="36"/>
      <c r="N10" s="36"/>
      <c r="O10" s="36"/>
      <c r="P10" s="3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3">
      <c r="A11" s="8">
        <v>130</v>
      </c>
      <c r="B11" s="9" t="s">
        <v>42</v>
      </c>
      <c r="C11" s="14">
        <v>130</v>
      </c>
      <c r="D11" s="15">
        <v>413500627645.18274</v>
      </c>
      <c r="E11" s="15">
        <f t="shared" ref="E11:P11" si="0">SUM(E12:E19)</f>
        <v>34458385637.098564</v>
      </c>
      <c r="F11" s="15">
        <f t="shared" si="0"/>
        <v>34458385637.098564</v>
      </c>
      <c r="G11" s="15">
        <f t="shared" si="0"/>
        <v>34458385637.098564</v>
      </c>
      <c r="H11" s="15">
        <f t="shared" si="0"/>
        <v>34458385637.098564</v>
      </c>
      <c r="I11" s="15">
        <f t="shared" si="0"/>
        <v>34458385637.098564</v>
      </c>
      <c r="J11" s="15">
        <f t="shared" si="0"/>
        <v>34458385637.098564</v>
      </c>
      <c r="K11" s="15">
        <f t="shared" si="0"/>
        <v>34458385637.098564</v>
      </c>
      <c r="L11" s="15">
        <f t="shared" si="0"/>
        <v>34458385637.098564</v>
      </c>
      <c r="M11" s="15">
        <f t="shared" si="0"/>
        <v>34458385637.098564</v>
      </c>
      <c r="N11" s="15">
        <f t="shared" si="0"/>
        <v>34458385637.098564</v>
      </c>
      <c r="O11" s="15">
        <f t="shared" si="0"/>
        <v>34458385637.098564</v>
      </c>
      <c r="P11" s="15">
        <f t="shared" si="0"/>
        <v>34458385637.098564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3">
      <c r="A12" s="21">
        <v>131</v>
      </c>
      <c r="B12" s="22" t="s">
        <v>44</v>
      </c>
      <c r="C12" s="10">
        <v>131</v>
      </c>
      <c r="D12" s="11">
        <v>176060022577.14166</v>
      </c>
      <c r="E12" s="11">
        <f t="shared" ref="E12:P12" si="1">$D$12/12</f>
        <v>14671668548.095139</v>
      </c>
      <c r="F12" s="11">
        <f t="shared" si="1"/>
        <v>14671668548.095139</v>
      </c>
      <c r="G12" s="11">
        <f t="shared" si="1"/>
        <v>14671668548.095139</v>
      </c>
      <c r="H12" s="11">
        <f t="shared" si="1"/>
        <v>14671668548.095139</v>
      </c>
      <c r="I12" s="11">
        <f t="shared" si="1"/>
        <v>14671668548.095139</v>
      </c>
      <c r="J12" s="11">
        <f t="shared" si="1"/>
        <v>14671668548.095139</v>
      </c>
      <c r="K12" s="11">
        <f t="shared" si="1"/>
        <v>14671668548.095139</v>
      </c>
      <c r="L12" s="11">
        <f t="shared" si="1"/>
        <v>14671668548.095139</v>
      </c>
      <c r="M12" s="11">
        <f t="shared" si="1"/>
        <v>14671668548.095139</v>
      </c>
      <c r="N12" s="11">
        <f t="shared" si="1"/>
        <v>14671668548.095139</v>
      </c>
      <c r="O12" s="11">
        <f t="shared" si="1"/>
        <v>14671668548.095139</v>
      </c>
      <c r="P12" s="11">
        <f t="shared" si="1"/>
        <v>14671668548.095139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3">
      <c r="A13" s="21">
        <v>132</v>
      </c>
      <c r="B13" s="22" t="s">
        <v>47</v>
      </c>
      <c r="C13" s="10">
        <v>132</v>
      </c>
      <c r="D13" s="11">
        <v>228720385481.04111</v>
      </c>
      <c r="E13" s="11">
        <f t="shared" ref="E13:P13" si="2">$D$13/12</f>
        <v>19060032123.420094</v>
      </c>
      <c r="F13" s="11">
        <f t="shared" si="2"/>
        <v>19060032123.420094</v>
      </c>
      <c r="G13" s="11">
        <f t="shared" si="2"/>
        <v>19060032123.420094</v>
      </c>
      <c r="H13" s="11">
        <f t="shared" si="2"/>
        <v>19060032123.420094</v>
      </c>
      <c r="I13" s="11">
        <f t="shared" si="2"/>
        <v>19060032123.420094</v>
      </c>
      <c r="J13" s="11">
        <f t="shared" si="2"/>
        <v>19060032123.420094</v>
      </c>
      <c r="K13" s="11">
        <f t="shared" si="2"/>
        <v>19060032123.420094</v>
      </c>
      <c r="L13" s="11">
        <f t="shared" si="2"/>
        <v>19060032123.420094</v>
      </c>
      <c r="M13" s="11">
        <f t="shared" si="2"/>
        <v>19060032123.420094</v>
      </c>
      <c r="N13" s="11">
        <f t="shared" si="2"/>
        <v>19060032123.420094</v>
      </c>
      <c r="O13" s="11">
        <f t="shared" si="2"/>
        <v>19060032123.420094</v>
      </c>
      <c r="P13" s="11">
        <f t="shared" si="2"/>
        <v>19060032123.420094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3">
      <c r="A14" s="21">
        <v>133</v>
      </c>
      <c r="B14" s="22" t="s">
        <v>49</v>
      </c>
      <c r="C14" s="10">
        <v>133</v>
      </c>
      <c r="D14" s="11">
        <v>0</v>
      </c>
      <c r="E14" s="11"/>
      <c r="F14" s="11"/>
      <c r="G14" s="32"/>
      <c r="H14" s="11"/>
      <c r="I14" s="11"/>
      <c r="J14" s="11"/>
      <c r="K14" s="11"/>
      <c r="L14" s="11"/>
      <c r="M14" s="11"/>
      <c r="N14" s="11"/>
      <c r="O14" s="11"/>
      <c r="P14" s="11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3">
      <c r="A15" s="21">
        <v>134</v>
      </c>
      <c r="B15" s="22" t="s">
        <v>51</v>
      </c>
      <c r="C15" s="10">
        <v>134</v>
      </c>
      <c r="D15" s="11">
        <v>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3">
      <c r="A16" s="21">
        <v>135</v>
      </c>
      <c r="B16" s="22" t="s">
        <v>53</v>
      </c>
      <c r="C16" s="10"/>
      <c r="D16" s="11">
        <v>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3">
      <c r="A17" s="21">
        <v>136</v>
      </c>
      <c r="B17" s="22" t="s">
        <v>54</v>
      </c>
      <c r="C17" s="10">
        <v>135</v>
      </c>
      <c r="D17" s="43">
        <v>8720219587</v>
      </c>
      <c r="E17" s="43">
        <f t="shared" ref="E17:P17" si="3">$D$17/12</f>
        <v>726684965.58333337</v>
      </c>
      <c r="F17" s="43">
        <f t="shared" si="3"/>
        <v>726684965.58333337</v>
      </c>
      <c r="G17" s="43">
        <f t="shared" si="3"/>
        <v>726684965.58333337</v>
      </c>
      <c r="H17" s="43">
        <f t="shared" si="3"/>
        <v>726684965.58333337</v>
      </c>
      <c r="I17" s="43">
        <f t="shared" si="3"/>
        <v>726684965.58333337</v>
      </c>
      <c r="J17" s="43">
        <f t="shared" si="3"/>
        <v>726684965.58333337</v>
      </c>
      <c r="K17" s="43">
        <f t="shared" si="3"/>
        <v>726684965.58333337</v>
      </c>
      <c r="L17" s="43">
        <f t="shared" si="3"/>
        <v>726684965.58333337</v>
      </c>
      <c r="M17" s="43">
        <f t="shared" si="3"/>
        <v>726684965.58333337</v>
      </c>
      <c r="N17" s="43">
        <f t="shared" si="3"/>
        <v>726684965.58333337</v>
      </c>
      <c r="O17" s="43">
        <f t="shared" si="3"/>
        <v>726684965.58333337</v>
      </c>
      <c r="P17" s="43">
        <f t="shared" si="3"/>
        <v>726684965.58333337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3">
      <c r="A18" s="21">
        <v>137</v>
      </c>
      <c r="B18" s="22" t="s">
        <v>57</v>
      </c>
      <c r="C18" s="35">
        <v>136</v>
      </c>
      <c r="D18" s="36">
        <v>0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3">
      <c r="A19" s="21">
        <v>139</v>
      </c>
      <c r="B19" s="22" t="s">
        <v>58</v>
      </c>
      <c r="C19" s="35">
        <v>137</v>
      </c>
      <c r="D19" s="36">
        <v>0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11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3">
      <c r="A20" s="8">
        <v>140</v>
      </c>
      <c r="B20" s="9" t="s">
        <v>61</v>
      </c>
      <c r="C20" s="14">
        <v>140</v>
      </c>
      <c r="D20" s="15">
        <v>185054173558.50671</v>
      </c>
      <c r="E20" s="15">
        <f t="shared" ref="E20:P20" si="4">SUM(E21:E22)</f>
        <v>15421181129.875559</v>
      </c>
      <c r="F20" s="15">
        <f t="shared" si="4"/>
        <v>15421181129.875559</v>
      </c>
      <c r="G20" s="15">
        <f t="shared" si="4"/>
        <v>15421181129.875559</v>
      </c>
      <c r="H20" s="15">
        <f t="shared" si="4"/>
        <v>15421181129.875559</v>
      </c>
      <c r="I20" s="15">
        <f t="shared" si="4"/>
        <v>15421181129.875559</v>
      </c>
      <c r="J20" s="15">
        <f t="shared" si="4"/>
        <v>15421181129.875559</v>
      </c>
      <c r="K20" s="15">
        <f t="shared" si="4"/>
        <v>15421181129.875559</v>
      </c>
      <c r="L20" s="15">
        <f t="shared" si="4"/>
        <v>15421181129.875559</v>
      </c>
      <c r="M20" s="15">
        <f t="shared" si="4"/>
        <v>15421181129.875559</v>
      </c>
      <c r="N20" s="15">
        <f t="shared" si="4"/>
        <v>15421181129.875559</v>
      </c>
      <c r="O20" s="15">
        <f t="shared" si="4"/>
        <v>15421181129.875559</v>
      </c>
      <c r="P20" s="15">
        <f t="shared" si="4"/>
        <v>15421181129.875559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3">
      <c r="A21" s="21">
        <v>141</v>
      </c>
      <c r="B21" s="22" t="s">
        <v>63</v>
      </c>
      <c r="C21" s="10">
        <v>141</v>
      </c>
      <c r="D21" s="11">
        <v>185054173558.50671</v>
      </c>
      <c r="E21" s="11">
        <f t="shared" ref="E21:P21" si="5">$D$21/12</f>
        <v>15421181129.875559</v>
      </c>
      <c r="F21" s="11">
        <f t="shared" si="5"/>
        <v>15421181129.875559</v>
      </c>
      <c r="G21" s="11">
        <f t="shared" si="5"/>
        <v>15421181129.875559</v>
      </c>
      <c r="H21" s="11">
        <f t="shared" si="5"/>
        <v>15421181129.875559</v>
      </c>
      <c r="I21" s="11">
        <f t="shared" si="5"/>
        <v>15421181129.875559</v>
      </c>
      <c r="J21" s="11">
        <f t="shared" si="5"/>
        <v>15421181129.875559</v>
      </c>
      <c r="K21" s="11">
        <f t="shared" si="5"/>
        <v>15421181129.875559</v>
      </c>
      <c r="L21" s="11">
        <f t="shared" si="5"/>
        <v>15421181129.875559</v>
      </c>
      <c r="M21" s="11">
        <f t="shared" si="5"/>
        <v>15421181129.875559</v>
      </c>
      <c r="N21" s="11">
        <f t="shared" si="5"/>
        <v>15421181129.875559</v>
      </c>
      <c r="O21" s="11">
        <f t="shared" si="5"/>
        <v>15421181129.875559</v>
      </c>
      <c r="P21" s="11">
        <f t="shared" si="5"/>
        <v>15421181129.875559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3">
      <c r="A22" s="21">
        <v>149</v>
      </c>
      <c r="B22" s="22" t="s">
        <v>66</v>
      </c>
      <c r="C22" s="10">
        <v>142</v>
      </c>
      <c r="D22" s="11">
        <v>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3">
      <c r="A23" s="8">
        <v>150</v>
      </c>
      <c r="B23" s="9" t="s">
        <v>68</v>
      </c>
      <c r="C23" s="14">
        <v>160</v>
      </c>
      <c r="D23" s="15">
        <v>6487924053.6884308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x14ac:dyDescent="0.3">
      <c r="A24" s="21">
        <v>151</v>
      </c>
      <c r="B24" s="22" t="s">
        <v>70</v>
      </c>
      <c r="C24" s="10">
        <v>161</v>
      </c>
      <c r="D24" s="11">
        <v>2237921922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3">
      <c r="A25" s="21">
        <v>152</v>
      </c>
      <c r="B25" s="22" t="s">
        <v>71</v>
      </c>
      <c r="C25" s="10">
        <v>162</v>
      </c>
      <c r="D25" s="11">
        <v>4250002131.6884303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32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3">
      <c r="A26" s="21">
        <v>153</v>
      </c>
      <c r="B26" s="22" t="s">
        <v>73</v>
      </c>
      <c r="C26" s="10">
        <v>163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3">
      <c r="A27" s="21">
        <v>154</v>
      </c>
      <c r="B27" s="22" t="s">
        <v>74</v>
      </c>
      <c r="C27" s="35">
        <v>164</v>
      </c>
      <c r="D27" s="36">
        <v>0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x14ac:dyDescent="0.3">
      <c r="A28" s="21">
        <v>155</v>
      </c>
      <c r="B28" s="22" t="s">
        <v>75</v>
      </c>
      <c r="C28" s="35">
        <v>165</v>
      </c>
      <c r="D28" s="36">
        <v>0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11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x14ac:dyDescent="0.3">
      <c r="A29" s="8">
        <v>200</v>
      </c>
      <c r="B29" s="9" t="s">
        <v>77</v>
      </c>
      <c r="C29" s="14">
        <v>200</v>
      </c>
      <c r="D29" s="15">
        <v>806256497091.03918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3">
      <c r="A30" s="8">
        <v>210</v>
      </c>
      <c r="B30" s="9" t="s">
        <v>79</v>
      </c>
      <c r="C30" s="10">
        <v>210</v>
      </c>
      <c r="D30" s="11">
        <v>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x14ac:dyDescent="0.3">
      <c r="A31" s="21">
        <v>211</v>
      </c>
      <c r="B31" s="22" t="s">
        <v>80</v>
      </c>
      <c r="C31" s="10"/>
      <c r="D31" s="11">
        <v>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x14ac:dyDescent="0.3">
      <c r="A32" s="21">
        <v>212</v>
      </c>
      <c r="B32" s="22" t="s">
        <v>82</v>
      </c>
      <c r="C32" s="10">
        <v>211</v>
      </c>
      <c r="D32" s="11">
        <v>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x14ac:dyDescent="0.3">
      <c r="A33" s="21">
        <v>213</v>
      </c>
      <c r="B33" s="22" t="s">
        <v>83</v>
      </c>
      <c r="C33" s="10">
        <v>212</v>
      </c>
      <c r="D33" s="11">
        <v>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x14ac:dyDescent="0.3">
      <c r="A34" s="21">
        <v>214</v>
      </c>
      <c r="B34" s="22" t="s">
        <v>85</v>
      </c>
      <c r="C34" s="10">
        <v>213</v>
      </c>
      <c r="D34" s="11">
        <v>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32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6.2" x14ac:dyDescent="0.3">
      <c r="A35" s="21">
        <v>215</v>
      </c>
      <c r="B35" s="22" t="s">
        <v>86</v>
      </c>
      <c r="C35" s="10">
        <v>214</v>
      </c>
      <c r="D35" s="32">
        <v>0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5.6" x14ac:dyDescent="0.3">
      <c r="A36" s="21">
        <v>216</v>
      </c>
      <c r="B36" s="22" t="s">
        <v>87</v>
      </c>
      <c r="C36" s="35">
        <v>215</v>
      </c>
      <c r="D36" s="36">
        <v>0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11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5.6" x14ac:dyDescent="0.3">
      <c r="A37" s="21">
        <v>219</v>
      </c>
      <c r="B37" s="22" t="s">
        <v>88</v>
      </c>
      <c r="C37" s="10">
        <v>216</v>
      </c>
      <c r="D37" s="36">
        <v>0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11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5.6" x14ac:dyDescent="0.3">
      <c r="A38" s="8">
        <v>220</v>
      </c>
      <c r="B38" s="9" t="s">
        <v>89</v>
      </c>
      <c r="C38" s="14">
        <v>220</v>
      </c>
      <c r="D38" s="15">
        <v>766643354322.27124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5.6" x14ac:dyDescent="0.3">
      <c r="A39" s="8">
        <v>221</v>
      </c>
      <c r="B39" s="9" t="s">
        <v>92</v>
      </c>
      <c r="C39" s="14">
        <v>221</v>
      </c>
      <c r="D39" s="15">
        <v>766643354322.27124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5.6" x14ac:dyDescent="0.3">
      <c r="A40" s="21">
        <v>222</v>
      </c>
      <c r="B40" s="22" t="s">
        <v>94</v>
      </c>
      <c r="C40" s="10">
        <v>222</v>
      </c>
      <c r="D40" s="11">
        <v>852117124348.27124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5.6" x14ac:dyDescent="0.3">
      <c r="A41" s="21">
        <v>223</v>
      </c>
      <c r="B41" s="22" t="s">
        <v>96</v>
      </c>
      <c r="C41" s="10">
        <v>223</v>
      </c>
      <c r="D41" s="11">
        <v>-85473770026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6.2" x14ac:dyDescent="0.3">
      <c r="A42" s="8">
        <v>224</v>
      </c>
      <c r="B42" s="9" t="s">
        <v>97</v>
      </c>
      <c r="C42" s="10">
        <v>224</v>
      </c>
      <c r="D42" s="11">
        <v>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32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5.6" x14ac:dyDescent="0.3">
      <c r="A43" s="21">
        <v>225</v>
      </c>
      <c r="B43" s="22" t="s">
        <v>94</v>
      </c>
      <c r="C43" s="10">
        <v>225</v>
      </c>
      <c r="D43" s="11">
        <v>1295732682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3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6.2" x14ac:dyDescent="0.3">
      <c r="A44" s="21">
        <v>226</v>
      </c>
      <c r="B44" s="22" t="s">
        <v>96</v>
      </c>
      <c r="C44" s="10">
        <v>226</v>
      </c>
      <c r="D44" s="51">
        <v>-1295732682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5.6" x14ac:dyDescent="0.3">
      <c r="A45" s="8">
        <v>227</v>
      </c>
      <c r="B45" s="9" t="s">
        <v>102</v>
      </c>
      <c r="C45" s="10">
        <v>227</v>
      </c>
      <c r="D45" s="36">
        <v>0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11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5.6" x14ac:dyDescent="0.3">
      <c r="A46" s="21">
        <v>228</v>
      </c>
      <c r="B46" s="22" t="s">
        <v>94</v>
      </c>
      <c r="C46" s="10">
        <v>228</v>
      </c>
      <c r="D46" s="11">
        <v>200000000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11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5.6" x14ac:dyDescent="0.3">
      <c r="A47" s="21">
        <v>229</v>
      </c>
      <c r="B47" s="22" t="s">
        <v>96</v>
      </c>
      <c r="C47" s="10">
        <v>229</v>
      </c>
      <c r="D47" s="51">
        <v>-200000000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5.6" x14ac:dyDescent="0.3">
      <c r="A48" s="8">
        <v>230</v>
      </c>
      <c r="B48" s="9" t="s">
        <v>107</v>
      </c>
      <c r="C48" s="14">
        <v>240</v>
      </c>
      <c r="D48" s="11">
        <v>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5.6" x14ac:dyDescent="0.3">
      <c r="A49" s="21">
        <v>231</v>
      </c>
      <c r="B49" s="22" t="s">
        <v>94</v>
      </c>
      <c r="C49" s="10">
        <v>241</v>
      </c>
      <c r="D49" s="11">
        <v>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5.6" x14ac:dyDescent="0.3">
      <c r="A50" s="21">
        <v>232</v>
      </c>
      <c r="B50" s="22" t="s">
        <v>96</v>
      </c>
      <c r="C50" s="10">
        <v>242</v>
      </c>
      <c r="D50" s="11">
        <v>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6.2" x14ac:dyDescent="0.3">
      <c r="A51" s="8">
        <v>240</v>
      </c>
      <c r="B51" s="56" t="s">
        <v>113</v>
      </c>
      <c r="C51" s="10">
        <v>250</v>
      </c>
      <c r="D51" s="11">
        <v>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32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5.6" x14ac:dyDescent="0.3">
      <c r="A52" s="21">
        <v>241</v>
      </c>
      <c r="B52" s="57" t="s">
        <v>114</v>
      </c>
      <c r="C52" s="10">
        <v>251</v>
      </c>
      <c r="D52" s="11">
        <v>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3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6.2" x14ac:dyDescent="0.3">
      <c r="A53" s="21">
        <v>242</v>
      </c>
      <c r="B53" s="57" t="s">
        <v>117</v>
      </c>
      <c r="C53" s="10">
        <v>252</v>
      </c>
      <c r="D53" s="32">
        <v>0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11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5.6" x14ac:dyDescent="0.3">
      <c r="A54" s="8">
        <v>250</v>
      </c>
      <c r="B54" s="56" t="s">
        <v>118</v>
      </c>
      <c r="C54" s="14">
        <v>260</v>
      </c>
      <c r="D54" s="15">
        <v>34662500000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11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5.6" x14ac:dyDescent="0.3">
      <c r="A55" s="21">
        <v>251</v>
      </c>
      <c r="B55" s="57" t="s">
        <v>119</v>
      </c>
      <c r="C55" s="10">
        <v>261</v>
      </c>
      <c r="D55" s="36">
        <v>0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11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5.6" x14ac:dyDescent="0.3">
      <c r="A56" s="21">
        <v>252</v>
      </c>
      <c r="B56" s="57" t="s">
        <v>121</v>
      </c>
      <c r="C56" s="10">
        <v>262</v>
      </c>
      <c r="D56" s="11">
        <v>34662500000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5.6" x14ac:dyDescent="0.3">
      <c r="A57" s="21">
        <v>253</v>
      </c>
      <c r="B57" s="57" t="s">
        <v>122</v>
      </c>
      <c r="C57" s="10">
        <v>263</v>
      </c>
      <c r="D57" s="11">
        <v>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5.6" x14ac:dyDescent="0.3">
      <c r="A58" s="21">
        <v>254</v>
      </c>
      <c r="B58" s="57" t="s">
        <v>125</v>
      </c>
      <c r="C58" s="10">
        <v>264</v>
      </c>
      <c r="D58" s="11">
        <v>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6.2" x14ac:dyDescent="0.3">
      <c r="A59" s="21">
        <v>255</v>
      </c>
      <c r="B59" s="57" t="s">
        <v>126</v>
      </c>
      <c r="C59" s="10">
        <v>265</v>
      </c>
      <c r="D59" s="11">
        <v>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32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5.6" x14ac:dyDescent="0.3">
      <c r="A60" s="8">
        <v>260</v>
      </c>
      <c r="B60" s="56" t="s">
        <v>127</v>
      </c>
      <c r="C60" s="14">
        <v>270</v>
      </c>
      <c r="D60" s="15">
        <v>4950642768.7679625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3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5.6" x14ac:dyDescent="0.3">
      <c r="A61" s="21">
        <v>261</v>
      </c>
      <c r="B61" s="57" t="s">
        <v>128</v>
      </c>
      <c r="C61" s="10">
        <v>271</v>
      </c>
      <c r="D61" s="11">
        <v>4950642768.7679625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3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6.2" x14ac:dyDescent="0.3">
      <c r="A62" s="21">
        <v>262</v>
      </c>
      <c r="B62" s="57" t="s">
        <v>129</v>
      </c>
      <c r="C62" s="10">
        <v>272</v>
      </c>
      <c r="D62" s="32">
        <v>0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11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5.6" x14ac:dyDescent="0.3">
      <c r="A63" s="21">
        <v>263</v>
      </c>
      <c r="B63" s="57" t="s">
        <v>131</v>
      </c>
      <c r="C63" s="10">
        <v>273</v>
      </c>
      <c r="D63" s="36">
        <v>0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11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5.6" x14ac:dyDescent="0.3">
      <c r="A64" s="21">
        <v>268</v>
      </c>
      <c r="B64" s="57" t="s">
        <v>132</v>
      </c>
      <c r="C64" s="10">
        <v>274</v>
      </c>
      <c r="D64" s="36">
        <v>0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11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5.6" x14ac:dyDescent="0.3">
      <c r="A65" s="21">
        <v>264</v>
      </c>
      <c r="B65" s="57" t="s">
        <v>134</v>
      </c>
      <c r="C65" s="10"/>
      <c r="D65" s="11">
        <v>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5.6" x14ac:dyDescent="0.3">
      <c r="A66" s="21">
        <v>269</v>
      </c>
      <c r="B66" s="57" t="s">
        <v>135</v>
      </c>
      <c r="C66" s="10"/>
      <c r="D66" s="11">
        <v>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5.6" x14ac:dyDescent="0.3">
      <c r="A67" s="8">
        <v>270</v>
      </c>
      <c r="B67" s="56" t="s">
        <v>138</v>
      </c>
      <c r="C67" s="14">
        <v>280</v>
      </c>
      <c r="D67" s="15">
        <v>1509883805509.6194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6.2" x14ac:dyDescent="0.3">
      <c r="A68" s="8">
        <v>300</v>
      </c>
      <c r="B68" s="56" t="s">
        <v>139</v>
      </c>
      <c r="C68" s="14">
        <v>300</v>
      </c>
      <c r="D68" s="15">
        <v>1037389721171.8708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32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5.6" x14ac:dyDescent="0.3">
      <c r="A69" s="8">
        <v>310</v>
      </c>
      <c r="B69" s="56" t="s">
        <v>141</v>
      </c>
      <c r="C69" s="14">
        <v>310</v>
      </c>
      <c r="D69" s="15">
        <v>578217787452.58093</v>
      </c>
      <c r="E69" s="15">
        <f t="shared" ref="E69:P69" si="6">SUM(E70:E83)</f>
        <v>48184815621.048409</v>
      </c>
      <c r="F69" s="15">
        <f t="shared" si="6"/>
        <v>48184815621.048409</v>
      </c>
      <c r="G69" s="15">
        <f t="shared" si="6"/>
        <v>48184815621.048409</v>
      </c>
      <c r="H69" s="15">
        <f t="shared" si="6"/>
        <v>48184815621.048409</v>
      </c>
      <c r="I69" s="15">
        <f t="shared" si="6"/>
        <v>48184815621.048409</v>
      </c>
      <c r="J69" s="15">
        <f t="shared" si="6"/>
        <v>48184815621.048409</v>
      </c>
      <c r="K69" s="15">
        <f t="shared" si="6"/>
        <v>48184815621.048409</v>
      </c>
      <c r="L69" s="15">
        <f t="shared" si="6"/>
        <v>48184815621.048409</v>
      </c>
      <c r="M69" s="15">
        <f t="shared" si="6"/>
        <v>48184815621.048409</v>
      </c>
      <c r="N69" s="15">
        <f t="shared" si="6"/>
        <v>48184815621.048409</v>
      </c>
      <c r="O69" s="15">
        <f t="shared" si="6"/>
        <v>48184815621.048409</v>
      </c>
      <c r="P69" s="15">
        <f t="shared" si="6"/>
        <v>48184815621.048409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5.6" x14ac:dyDescent="0.3">
      <c r="A70" s="21">
        <v>311</v>
      </c>
      <c r="B70" s="57" t="s">
        <v>143</v>
      </c>
      <c r="C70" s="10">
        <v>311</v>
      </c>
      <c r="D70" s="11">
        <v>88768735086.027496</v>
      </c>
      <c r="E70" s="11">
        <f t="shared" ref="E70:P70" si="7">$D70/12</f>
        <v>7397394590.5022917</v>
      </c>
      <c r="F70" s="11">
        <f t="shared" si="7"/>
        <v>7397394590.5022917</v>
      </c>
      <c r="G70" s="11">
        <f t="shared" si="7"/>
        <v>7397394590.5022917</v>
      </c>
      <c r="H70" s="11">
        <f t="shared" si="7"/>
        <v>7397394590.5022917</v>
      </c>
      <c r="I70" s="11">
        <f t="shared" si="7"/>
        <v>7397394590.5022917</v>
      </c>
      <c r="J70" s="11">
        <f t="shared" si="7"/>
        <v>7397394590.5022917</v>
      </c>
      <c r="K70" s="11">
        <f t="shared" si="7"/>
        <v>7397394590.5022917</v>
      </c>
      <c r="L70" s="11">
        <f t="shared" si="7"/>
        <v>7397394590.5022917</v>
      </c>
      <c r="M70" s="11">
        <f t="shared" si="7"/>
        <v>7397394590.5022917</v>
      </c>
      <c r="N70" s="11">
        <f t="shared" si="7"/>
        <v>7397394590.5022917</v>
      </c>
      <c r="O70" s="11">
        <f t="shared" si="7"/>
        <v>7397394590.5022917</v>
      </c>
      <c r="P70" s="11">
        <f t="shared" si="7"/>
        <v>7397394590.5022917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5.6" x14ac:dyDescent="0.3">
      <c r="A71" s="21">
        <v>312</v>
      </c>
      <c r="B71" s="57" t="s">
        <v>145</v>
      </c>
      <c r="C71" s="10">
        <v>312</v>
      </c>
      <c r="D71" s="43">
        <v>115779089167.17053</v>
      </c>
      <c r="E71" s="11">
        <f t="shared" ref="E71:P71" si="8">$D71/12</f>
        <v>9648257430.5975437</v>
      </c>
      <c r="F71" s="11">
        <f t="shared" si="8"/>
        <v>9648257430.5975437</v>
      </c>
      <c r="G71" s="11">
        <f t="shared" si="8"/>
        <v>9648257430.5975437</v>
      </c>
      <c r="H71" s="11">
        <f t="shared" si="8"/>
        <v>9648257430.5975437</v>
      </c>
      <c r="I71" s="11">
        <f t="shared" si="8"/>
        <v>9648257430.5975437</v>
      </c>
      <c r="J71" s="11">
        <f t="shared" si="8"/>
        <v>9648257430.5975437</v>
      </c>
      <c r="K71" s="11">
        <f t="shared" si="8"/>
        <v>9648257430.5975437</v>
      </c>
      <c r="L71" s="11">
        <f t="shared" si="8"/>
        <v>9648257430.5975437</v>
      </c>
      <c r="M71" s="11">
        <f t="shared" si="8"/>
        <v>9648257430.5975437</v>
      </c>
      <c r="N71" s="11">
        <f t="shared" si="8"/>
        <v>9648257430.5975437</v>
      </c>
      <c r="O71" s="11">
        <f t="shared" si="8"/>
        <v>9648257430.5975437</v>
      </c>
      <c r="P71" s="11">
        <f t="shared" si="8"/>
        <v>9648257430.5975437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5.6" x14ac:dyDescent="0.3">
      <c r="A72" s="21">
        <v>313</v>
      </c>
      <c r="B72" s="57" t="s">
        <v>147</v>
      </c>
      <c r="C72" s="10">
        <v>314</v>
      </c>
      <c r="D72" s="43">
        <v>8208943923.4912958</v>
      </c>
      <c r="E72" s="11">
        <f t="shared" ref="E72:P72" si="9">$D72/12</f>
        <v>684078660.29094136</v>
      </c>
      <c r="F72" s="11">
        <f t="shared" si="9"/>
        <v>684078660.29094136</v>
      </c>
      <c r="G72" s="11">
        <f t="shared" si="9"/>
        <v>684078660.29094136</v>
      </c>
      <c r="H72" s="11">
        <f t="shared" si="9"/>
        <v>684078660.29094136</v>
      </c>
      <c r="I72" s="11">
        <f t="shared" si="9"/>
        <v>684078660.29094136</v>
      </c>
      <c r="J72" s="11">
        <f t="shared" si="9"/>
        <v>684078660.29094136</v>
      </c>
      <c r="K72" s="11">
        <f t="shared" si="9"/>
        <v>684078660.29094136</v>
      </c>
      <c r="L72" s="11">
        <f t="shared" si="9"/>
        <v>684078660.29094136</v>
      </c>
      <c r="M72" s="11">
        <f t="shared" si="9"/>
        <v>684078660.29094136</v>
      </c>
      <c r="N72" s="11">
        <f t="shared" si="9"/>
        <v>684078660.29094136</v>
      </c>
      <c r="O72" s="11">
        <f t="shared" si="9"/>
        <v>684078660.29094136</v>
      </c>
      <c r="P72" s="11">
        <f t="shared" si="9"/>
        <v>684078660.29094136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5.6" x14ac:dyDescent="0.3">
      <c r="A73" s="21">
        <v>314</v>
      </c>
      <c r="B73" s="57" t="s">
        <v>148</v>
      </c>
      <c r="C73" s="10">
        <v>315</v>
      </c>
      <c r="D73" s="43">
        <v>12971284137.829489</v>
      </c>
      <c r="E73" s="11">
        <f t="shared" ref="E73:P73" si="10">$D73/12</f>
        <v>1080940344.819124</v>
      </c>
      <c r="F73" s="11">
        <f t="shared" si="10"/>
        <v>1080940344.819124</v>
      </c>
      <c r="G73" s="11">
        <f t="shared" si="10"/>
        <v>1080940344.819124</v>
      </c>
      <c r="H73" s="11">
        <f t="shared" si="10"/>
        <v>1080940344.819124</v>
      </c>
      <c r="I73" s="11">
        <f t="shared" si="10"/>
        <v>1080940344.819124</v>
      </c>
      <c r="J73" s="11">
        <f t="shared" si="10"/>
        <v>1080940344.819124</v>
      </c>
      <c r="K73" s="11">
        <f t="shared" si="10"/>
        <v>1080940344.819124</v>
      </c>
      <c r="L73" s="11">
        <f t="shared" si="10"/>
        <v>1080940344.819124</v>
      </c>
      <c r="M73" s="11">
        <f t="shared" si="10"/>
        <v>1080940344.819124</v>
      </c>
      <c r="N73" s="11">
        <f t="shared" si="10"/>
        <v>1080940344.819124</v>
      </c>
      <c r="O73" s="11">
        <f t="shared" si="10"/>
        <v>1080940344.819124</v>
      </c>
      <c r="P73" s="11">
        <f t="shared" si="10"/>
        <v>1080940344.819124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5.6" x14ac:dyDescent="0.3">
      <c r="A74" s="21">
        <v>315</v>
      </c>
      <c r="B74" s="57" t="s">
        <v>151</v>
      </c>
      <c r="C74" s="10">
        <v>316</v>
      </c>
      <c r="D74" s="11">
        <v>105285181.44552386</v>
      </c>
      <c r="E74" s="11">
        <f t="shared" ref="E74:P74" si="11">$D74/12</f>
        <v>8773765.1204603221</v>
      </c>
      <c r="F74" s="11">
        <f t="shared" si="11"/>
        <v>8773765.1204603221</v>
      </c>
      <c r="G74" s="11">
        <f t="shared" si="11"/>
        <v>8773765.1204603221</v>
      </c>
      <c r="H74" s="11">
        <f t="shared" si="11"/>
        <v>8773765.1204603221</v>
      </c>
      <c r="I74" s="11">
        <f t="shared" si="11"/>
        <v>8773765.1204603221</v>
      </c>
      <c r="J74" s="11">
        <f t="shared" si="11"/>
        <v>8773765.1204603221</v>
      </c>
      <c r="K74" s="11">
        <f t="shared" si="11"/>
        <v>8773765.1204603221</v>
      </c>
      <c r="L74" s="11">
        <f t="shared" si="11"/>
        <v>8773765.1204603221</v>
      </c>
      <c r="M74" s="11">
        <f t="shared" si="11"/>
        <v>8773765.1204603221</v>
      </c>
      <c r="N74" s="11">
        <f t="shared" si="11"/>
        <v>8773765.1204603221</v>
      </c>
      <c r="O74" s="11">
        <f t="shared" si="11"/>
        <v>8773765.1204603221</v>
      </c>
      <c r="P74" s="11">
        <f t="shared" si="11"/>
        <v>8773765.1204603221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5.6" x14ac:dyDescent="0.3">
      <c r="A75" s="21">
        <v>316</v>
      </c>
      <c r="B75" s="57" t="s">
        <v>154</v>
      </c>
      <c r="C75" s="10">
        <v>317</v>
      </c>
      <c r="D75" s="11">
        <v>3375242097</v>
      </c>
      <c r="E75" s="11">
        <f t="shared" ref="E75:P75" si="12">$D75/12</f>
        <v>281270174.75</v>
      </c>
      <c r="F75" s="11">
        <f t="shared" si="12"/>
        <v>281270174.75</v>
      </c>
      <c r="G75" s="11">
        <f t="shared" si="12"/>
        <v>281270174.75</v>
      </c>
      <c r="H75" s="11">
        <f t="shared" si="12"/>
        <v>281270174.75</v>
      </c>
      <c r="I75" s="11">
        <f t="shared" si="12"/>
        <v>281270174.75</v>
      </c>
      <c r="J75" s="11">
        <f t="shared" si="12"/>
        <v>281270174.75</v>
      </c>
      <c r="K75" s="11">
        <f t="shared" si="12"/>
        <v>281270174.75</v>
      </c>
      <c r="L75" s="11">
        <f t="shared" si="12"/>
        <v>281270174.75</v>
      </c>
      <c r="M75" s="11">
        <f t="shared" si="12"/>
        <v>281270174.75</v>
      </c>
      <c r="N75" s="11">
        <f t="shared" si="12"/>
        <v>281270174.75</v>
      </c>
      <c r="O75" s="11">
        <f t="shared" si="12"/>
        <v>281270174.75</v>
      </c>
      <c r="P75" s="11">
        <f t="shared" si="12"/>
        <v>281270174.75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5.6" x14ac:dyDescent="0.3">
      <c r="A76" s="21">
        <v>317</v>
      </c>
      <c r="B76" s="57" t="s">
        <v>157</v>
      </c>
      <c r="C76" s="10">
        <v>318</v>
      </c>
      <c r="D76" s="11">
        <v>0</v>
      </c>
      <c r="E76" s="11">
        <f t="shared" ref="E76:P76" si="13">$D76/12</f>
        <v>0</v>
      </c>
      <c r="F76" s="11">
        <f t="shared" si="13"/>
        <v>0</v>
      </c>
      <c r="G76" s="11">
        <f t="shared" si="13"/>
        <v>0</v>
      </c>
      <c r="H76" s="11">
        <f t="shared" si="13"/>
        <v>0</v>
      </c>
      <c r="I76" s="11">
        <f t="shared" si="13"/>
        <v>0</v>
      </c>
      <c r="J76" s="11">
        <f t="shared" si="13"/>
        <v>0</v>
      </c>
      <c r="K76" s="11">
        <f t="shared" si="13"/>
        <v>0</v>
      </c>
      <c r="L76" s="11">
        <f t="shared" si="13"/>
        <v>0</v>
      </c>
      <c r="M76" s="11">
        <f t="shared" si="13"/>
        <v>0</v>
      </c>
      <c r="N76" s="11">
        <f t="shared" si="13"/>
        <v>0</v>
      </c>
      <c r="O76" s="11">
        <f t="shared" si="13"/>
        <v>0</v>
      </c>
      <c r="P76" s="11">
        <f t="shared" si="13"/>
        <v>0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5.6" x14ac:dyDescent="0.3">
      <c r="A77" s="21">
        <v>318</v>
      </c>
      <c r="B77" s="57" t="s">
        <v>158</v>
      </c>
      <c r="C77" s="10">
        <v>319</v>
      </c>
      <c r="D77" s="11">
        <v>0</v>
      </c>
      <c r="E77" s="11">
        <f t="shared" ref="E77:P77" si="14">$D77/12</f>
        <v>0</v>
      </c>
      <c r="F77" s="11">
        <f t="shared" si="14"/>
        <v>0</v>
      </c>
      <c r="G77" s="11">
        <f t="shared" si="14"/>
        <v>0</v>
      </c>
      <c r="H77" s="11">
        <f t="shared" si="14"/>
        <v>0</v>
      </c>
      <c r="I77" s="11">
        <f t="shared" si="14"/>
        <v>0</v>
      </c>
      <c r="J77" s="11">
        <f t="shared" si="14"/>
        <v>0</v>
      </c>
      <c r="K77" s="11">
        <f t="shared" si="14"/>
        <v>0</v>
      </c>
      <c r="L77" s="11">
        <f t="shared" si="14"/>
        <v>0</v>
      </c>
      <c r="M77" s="11">
        <f t="shared" si="14"/>
        <v>0</v>
      </c>
      <c r="N77" s="11">
        <f t="shared" si="14"/>
        <v>0</v>
      </c>
      <c r="O77" s="11">
        <f t="shared" si="14"/>
        <v>0</v>
      </c>
      <c r="P77" s="11">
        <f t="shared" si="14"/>
        <v>0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5.6" x14ac:dyDescent="0.3">
      <c r="A78" s="21">
        <v>319</v>
      </c>
      <c r="B78" s="57" t="s">
        <v>159</v>
      </c>
      <c r="C78" s="10">
        <v>320</v>
      </c>
      <c r="D78" s="11">
        <v>0</v>
      </c>
      <c r="E78" s="11">
        <f t="shared" ref="E78:P78" si="15">$D78/12</f>
        <v>0</v>
      </c>
      <c r="F78" s="11">
        <f t="shared" si="15"/>
        <v>0</v>
      </c>
      <c r="G78" s="11">
        <f t="shared" si="15"/>
        <v>0</v>
      </c>
      <c r="H78" s="11">
        <f t="shared" si="15"/>
        <v>0</v>
      </c>
      <c r="I78" s="11">
        <f t="shared" si="15"/>
        <v>0</v>
      </c>
      <c r="J78" s="11">
        <f t="shared" si="15"/>
        <v>0</v>
      </c>
      <c r="K78" s="11">
        <f t="shared" si="15"/>
        <v>0</v>
      </c>
      <c r="L78" s="11">
        <f t="shared" si="15"/>
        <v>0</v>
      </c>
      <c r="M78" s="11">
        <f t="shared" si="15"/>
        <v>0</v>
      </c>
      <c r="N78" s="11">
        <f t="shared" si="15"/>
        <v>0</v>
      </c>
      <c r="O78" s="11">
        <f t="shared" si="15"/>
        <v>0</v>
      </c>
      <c r="P78" s="11">
        <f t="shared" si="15"/>
        <v>0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5.6" x14ac:dyDescent="0.3">
      <c r="A79" s="21">
        <v>320</v>
      </c>
      <c r="B79" s="57" t="s">
        <v>162</v>
      </c>
      <c r="C79" s="10">
        <v>321</v>
      </c>
      <c r="D79" s="11">
        <v>349009207859.61658</v>
      </c>
      <c r="E79" s="11">
        <f t="shared" ref="E79:P79" si="16">$D79/12</f>
        <v>29084100654.968048</v>
      </c>
      <c r="F79" s="11">
        <f t="shared" si="16"/>
        <v>29084100654.968048</v>
      </c>
      <c r="G79" s="11">
        <f t="shared" si="16"/>
        <v>29084100654.968048</v>
      </c>
      <c r="H79" s="11">
        <f t="shared" si="16"/>
        <v>29084100654.968048</v>
      </c>
      <c r="I79" s="11">
        <f t="shared" si="16"/>
        <v>29084100654.968048</v>
      </c>
      <c r="J79" s="11">
        <f t="shared" si="16"/>
        <v>29084100654.968048</v>
      </c>
      <c r="K79" s="11">
        <f t="shared" si="16"/>
        <v>29084100654.968048</v>
      </c>
      <c r="L79" s="11">
        <f t="shared" si="16"/>
        <v>29084100654.968048</v>
      </c>
      <c r="M79" s="11">
        <f t="shared" si="16"/>
        <v>29084100654.968048</v>
      </c>
      <c r="N79" s="11">
        <f t="shared" si="16"/>
        <v>29084100654.968048</v>
      </c>
      <c r="O79" s="11">
        <f t="shared" si="16"/>
        <v>29084100654.968048</v>
      </c>
      <c r="P79" s="11">
        <f t="shared" si="16"/>
        <v>29084100654.968048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6.2" x14ac:dyDescent="0.3">
      <c r="A80" s="21">
        <v>321</v>
      </c>
      <c r="B80" s="57" t="s">
        <v>163</v>
      </c>
      <c r="C80" s="10">
        <v>322</v>
      </c>
      <c r="D80" s="32">
        <v>0</v>
      </c>
      <c r="E80" s="11">
        <f t="shared" ref="E80:P80" si="17">$D80/12</f>
        <v>0</v>
      </c>
      <c r="F80" s="11">
        <f t="shared" si="17"/>
        <v>0</v>
      </c>
      <c r="G80" s="11">
        <f t="shared" si="17"/>
        <v>0</v>
      </c>
      <c r="H80" s="11">
        <f t="shared" si="17"/>
        <v>0</v>
      </c>
      <c r="I80" s="11">
        <f t="shared" si="17"/>
        <v>0</v>
      </c>
      <c r="J80" s="11">
        <f t="shared" si="17"/>
        <v>0</v>
      </c>
      <c r="K80" s="11">
        <f t="shared" si="17"/>
        <v>0</v>
      </c>
      <c r="L80" s="11">
        <f t="shared" si="17"/>
        <v>0</v>
      </c>
      <c r="M80" s="11">
        <f t="shared" si="17"/>
        <v>0</v>
      </c>
      <c r="N80" s="11">
        <f t="shared" si="17"/>
        <v>0</v>
      </c>
      <c r="O80" s="11">
        <f t="shared" si="17"/>
        <v>0</v>
      </c>
      <c r="P80" s="11">
        <f t="shared" si="17"/>
        <v>0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5.6" x14ac:dyDescent="0.3">
      <c r="A81" s="21">
        <v>322</v>
      </c>
      <c r="B81" s="57" t="s">
        <v>164</v>
      </c>
      <c r="C81" s="10">
        <v>323</v>
      </c>
      <c r="D81" s="36">
        <v>0</v>
      </c>
      <c r="E81" s="11">
        <f t="shared" ref="E81:P81" si="18">$D81/12</f>
        <v>0</v>
      </c>
      <c r="F81" s="11">
        <f t="shared" si="18"/>
        <v>0</v>
      </c>
      <c r="G81" s="11">
        <f t="shared" si="18"/>
        <v>0</v>
      </c>
      <c r="H81" s="11">
        <f t="shared" si="18"/>
        <v>0</v>
      </c>
      <c r="I81" s="11">
        <f t="shared" si="18"/>
        <v>0</v>
      </c>
      <c r="J81" s="11">
        <f t="shared" si="18"/>
        <v>0</v>
      </c>
      <c r="K81" s="11">
        <f t="shared" si="18"/>
        <v>0</v>
      </c>
      <c r="L81" s="11">
        <f t="shared" si="18"/>
        <v>0</v>
      </c>
      <c r="M81" s="11">
        <f t="shared" si="18"/>
        <v>0</v>
      </c>
      <c r="N81" s="11">
        <f t="shared" si="18"/>
        <v>0</v>
      </c>
      <c r="O81" s="11">
        <f t="shared" si="18"/>
        <v>0</v>
      </c>
      <c r="P81" s="11">
        <f t="shared" si="18"/>
        <v>0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5.6" x14ac:dyDescent="0.3">
      <c r="A82" s="21">
        <v>323</v>
      </c>
      <c r="B82" s="57" t="s">
        <v>165</v>
      </c>
      <c r="C82" s="10">
        <v>324</v>
      </c>
      <c r="D82" s="36">
        <v>0</v>
      </c>
      <c r="E82" s="11">
        <f t="shared" ref="E82:P82" si="19">$D82/12</f>
        <v>0</v>
      </c>
      <c r="F82" s="11">
        <f t="shared" si="19"/>
        <v>0</v>
      </c>
      <c r="G82" s="11">
        <f t="shared" si="19"/>
        <v>0</v>
      </c>
      <c r="H82" s="11">
        <f t="shared" si="19"/>
        <v>0</v>
      </c>
      <c r="I82" s="11">
        <f t="shared" si="19"/>
        <v>0</v>
      </c>
      <c r="J82" s="11">
        <f t="shared" si="19"/>
        <v>0</v>
      </c>
      <c r="K82" s="11">
        <f t="shared" si="19"/>
        <v>0</v>
      </c>
      <c r="L82" s="11">
        <f t="shared" si="19"/>
        <v>0</v>
      </c>
      <c r="M82" s="11">
        <f t="shared" si="19"/>
        <v>0</v>
      </c>
      <c r="N82" s="11">
        <f t="shared" si="19"/>
        <v>0</v>
      </c>
      <c r="O82" s="11">
        <f t="shared" si="19"/>
        <v>0</v>
      </c>
      <c r="P82" s="11">
        <f t="shared" si="19"/>
        <v>0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5.6" x14ac:dyDescent="0.3">
      <c r="A83" s="21">
        <v>324</v>
      </c>
      <c r="B83" s="57" t="s">
        <v>166</v>
      </c>
      <c r="C83" s="10">
        <v>325</v>
      </c>
      <c r="D83" s="11">
        <v>0</v>
      </c>
      <c r="E83" s="11">
        <f t="shared" ref="E83:P83" si="20">$D83/12</f>
        <v>0</v>
      </c>
      <c r="F83" s="11">
        <f t="shared" si="20"/>
        <v>0</v>
      </c>
      <c r="G83" s="11">
        <f t="shared" si="20"/>
        <v>0</v>
      </c>
      <c r="H83" s="11">
        <f t="shared" si="20"/>
        <v>0</v>
      </c>
      <c r="I83" s="11">
        <f t="shared" si="20"/>
        <v>0</v>
      </c>
      <c r="J83" s="11">
        <f t="shared" si="20"/>
        <v>0</v>
      </c>
      <c r="K83" s="11">
        <f t="shared" si="20"/>
        <v>0</v>
      </c>
      <c r="L83" s="11">
        <f t="shared" si="20"/>
        <v>0</v>
      </c>
      <c r="M83" s="11">
        <f t="shared" si="20"/>
        <v>0</v>
      </c>
      <c r="N83" s="11">
        <f t="shared" si="20"/>
        <v>0</v>
      </c>
      <c r="O83" s="11">
        <f t="shared" si="20"/>
        <v>0</v>
      </c>
      <c r="P83" s="11">
        <f t="shared" si="20"/>
        <v>0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5.6" x14ac:dyDescent="0.3">
      <c r="A84" s="8">
        <v>330</v>
      </c>
      <c r="B84" s="56" t="s">
        <v>167</v>
      </c>
      <c r="C84" s="14">
        <v>330</v>
      </c>
      <c r="D84" s="15">
        <v>459171933719.28986</v>
      </c>
      <c r="E84" s="15">
        <f t="shared" ref="E84:P84" si="21">SUM(E85:E97)</f>
        <v>0</v>
      </c>
      <c r="F84" s="15">
        <f t="shared" si="21"/>
        <v>0</v>
      </c>
      <c r="G84" s="15">
        <f t="shared" si="21"/>
        <v>0</v>
      </c>
      <c r="H84" s="15">
        <f t="shared" si="21"/>
        <v>0</v>
      </c>
      <c r="I84" s="15">
        <f t="shared" si="21"/>
        <v>0</v>
      </c>
      <c r="J84" s="15">
        <f t="shared" si="21"/>
        <v>0</v>
      </c>
      <c r="K84" s="15">
        <f t="shared" si="21"/>
        <v>459171933719.28986</v>
      </c>
      <c r="L84" s="15">
        <f t="shared" si="21"/>
        <v>0</v>
      </c>
      <c r="M84" s="15">
        <f t="shared" si="21"/>
        <v>0</v>
      </c>
      <c r="N84" s="15">
        <f t="shared" si="21"/>
        <v>0</v>
      </c>
      <c r="O84" s="15">
        <f t="shared" si="21"/>
        <v>0</v>
      </c>
      <c r="P84" s="15">
        <f t="shared" si="21"/>
        <v>0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6.2" x14ac:dyDescent="0.3">
      <c r="A85" s="21">
        <v>331</v>
      </c>
      <c r="B85" s="57" t="s">
        <v>168</v>
      </c>
      <c r="C85" s="10">
        <v>331</v>
      </c>
      <c r="D85" s="11">
        <v>0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32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5.6" x14ac:dyDescent="0.3">
      <c r="A86" s="21">
        <v>332</v>
      </c>
      <c r="B86" s="57" t="s">
        <v>169</v>
      </c>
      <c r="C86" s="10">
        <v>332</v>
      </c>
      <c r="D86" s="11">
        <v>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3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5.6" x14ac:dyDescent="0.3">
      <c r="A87" s="21">
        <v>333</v>
      </c>
      <c r="B87" s="57" t="s">
        <v>170</v>
      </c>
      <c r="C87" s="10">
        <v>334</v>
      </c>
      <c r="D87" s="11">
        <v>0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5.6" x14ac:dyDescent="0.3">
      <c r="A88" s="21">
        <v>334</v>
      </c>
      <c r="B88" s="57" t="s">
        <v>171</v>
      </c>
      <c r="C88" s="10">
        <v>335</v>
      </c>
      <c r="D88" s="11">
        <v>0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6.2" x14ac:dyDescent="0.3">
      <c r="A89" s="21">
        <v>335</v>
      </c>
      <c r="B89" s="57" t="s">
        <v>173</v>
      </c>
      <c r="C89" s="10">
        <v>336</v>
      </c>
      <c r="D89" s="32">
        <v>0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11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5.6" x14ac:dyDescent="0.3">
      <c r="A90" s="21">
        <v>336</v>
      </c>
      <c r="B90" s="57" t="s">
        <v>174</v>
      </c>
      <c r="C90" s="10">
        <v>337</v>
      </c>
      <c r="D90" s="36">
        <v>0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11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5.6" x14ac:dyDescent="0.3">
      <c r="A91" s="21">
        <v>337</v>
      </c>
      <c r="B91" s="57" t="s">
        <v>175</v>
      </c>
      <c r="C91" s="10">
        <v>338</v>
      </c>
      <c r="D91" s="36">
        <v>0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11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5.6" x14ac:dyDescent="0.3">
      <c r="A92" s="21">
        <v>338</v>
      </c>
      <c r="B92" s="57" t="s">
        <v>176</v>
      </c>
      <c r="C92" s="10">
        <v>339</v>
      </c>
      <c r="D92" s="11">
        <v>459171933719.28986</v>
      </c>
      <c r="E92" s="11"/>
      <c r="F92" s="11"/>
      <c r="G92" s="11"/>
      <c r="H92" s="11"/>
      <c r="I92" s="11"/>
      <c r="J92" s="11"/>
      <c r="K92" s="11">
        <f>D92</f>
        <v>459171933719.28986</v>
      </c>
      <c r="L92" s="11"/>
      <c r="M92" s="11"/>
      <c r="N92" s="11"/>
      <c r="O92" s="11"/>
      <c r="P92" s="11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6.2" x14ac:dyDescent="0.3">
      <c r="A93" s="21">
        <v>339</v>
      </c>
      <c r="B93" s="57" t="s">
        <v>177</v>
      </c>
      <c r="C93" s="10">
        <v>340</v>
      </c>
      <c r="D93" s="11">
        <v>0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32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5.6" x14ac:dyDescent="0.3">
      <c r="A94" s="21">
        <v>340</v>
      </c>
      <c r="B94" s="57" t="s">
        <v>179</v>
      </c>
      <c r="C94" s="10">
        <v>341</v>
      </c>
      <c r="D94" s="11">
        <v>0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3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5.6" x14ac:dyDescent="0.3">
      <c r="A95" s="21">
        <v>341</v>
      </c>
      <c r="B95" s="57" t="s">
        <v>180</v>
      </c>
      <c r="C95" s="10">
        <v>342</v>
      </c>
      <c r="D95" s="11">
        <v>0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3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5.6" x14ac:dyDescent="0.3">
      <c r="A96" s="21">
        <v>342</v>
      </c>
      <c r="B96" s="57" t="s">
        <v>181</v>
      </c>
      <c r="C96" s="10">
        <v>343</v>
      </c>
      <c r="D96" s="11">
        <v>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5.6" x14ac:dyDescent="0.3">
      <c r="A97" s="21">
        <v>343</v>
      </c>
      <c r="B97" s="57" t="s">
        <v>182</v>
      </c>
      <c r="C97" s="10">
        <v>344</v>
      </c>
      <c r="D97" s="11">
        <v>0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6.2" x14ac:dyDescent="0.3">
      <c r="A98" s="8">
        <v>400</v>
      </c>
      <c r="B98" s="56" t="s">
        <v>183</v>
      </c>
      <c r="C98" s="14">
        <v>400</v>
      </c>
      <c r="D98" s="88">
        <v>472494084337.74854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11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5.6" x14ac:dyDescent="0.3">
      <c r="A99" s="8">
        <v>410</v>
      </c>
      <c r="B99" s="56" t="s">
        <v>186</v>
      </c>
      <c r="C99" s="14">
        <v>411</v>
      </c>
      <c r="D99" s="88">
        <v>472494084337.74854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11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5.6" x14ac:dyDescent="0.3">
      <c r="A100" s="21">
        <v>411</v>
      </c>
      <c r="B100" s="57" t="s">
        <v>188</v>
      </c>
      <c r="C100" s="10">
        <v>411</v>
      </c>
      <c r="D100" s="43">
        <v>386881259593.98132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11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5.6" x14ac:dyDescent="0.3">
      <c r="A101" s="96" t="s">
        <v>190</v>
      </c>
      <c r="B101" s="98" t="s">
        <v>191</v>
      </c>
      <c r="C101" s="10" t="s">
        <v>190</v>
      </c>
      <c r="D101" s="36">
        <v>386881259593.98132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6.2" x14ac:dyDescent="0.3">
      <c r="A102" s="96" t="s">
        <v>195</v>
      </c>
      <c r="B102" s="98" t="s">
        <v>196</v>
      </c>
      <c r="C102" s="10" t="s">
        <v>195</v>
      </c>
      <c r="D102" s="11">
        <v>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32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5.6" x14ac:dyDescent="0.3">
      <c r="A103" s="21">
        <v>412</v>
      </c>
      <c r="B103" s="57" t="s">
        <v>199</v>
      </c>
      <c r="C103" s="10">
        <v>412</v>
      </c>
      <c r="D103" s="11">
        <v>0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3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5.6" x14ac:dyDescent="0.3">
      <c r="A104" s="21">
        <v>413</v>
      </c>
      <c r="B104" s="57" t="s">
        <v>200</v>
      </c>
      <c r="C104" s="10">
        <v>413</v>
      </c>
      <c r="D104" s="11">
        <v>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5.6" x14ac:dyDescent="0.3">
      <c r="A105" s="21">
        <v>414</v>
      </c>
      <c r="B105" s="57" t="s">
        <v>202</v>
      </c>
      <c r="C105" s="10">
        <v>414</v>
      </c>
      <c r="D105" s="11">
        <v>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5.6" x14ac:dyDescent="0.3">
      <c r="A106" s="21">
        <v>415</v>
      </c>
      <c r="B106" s="57" t="s">
        <v>205</v>
      </c>
      <c r="C106" s="10">
        <v>415</v>
      </c>
      <c r="D106" s="11">
        <v>0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6.2" x14ac:dyDescent="0.3">
      <c r="A107" s="21">
        <v>416</v>
      </c>
      <c r="B107" s="57" t="s">
        <v>207</v>
      </c>
      <c r="C107" s="10">
        <v>416</v>
      </c>
      <c r="D107" s="11">
        <v>144855921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11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5.6" x14ac:dyDescent="0.3">
      <c r="A108" s="21">
        <v>417</v>
      </c>
      <c r="B108" s="57" t="s">
        <v>210</v>
      </c>
      <c r="C108" s="10">
        <v>417</v>
      </c>
      <c r="D108" s="36">
        <v>0</v>
      </c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11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5.6" x14ac:dyDescent="0.3">
      <c r="A109" s="21">
        <v>418</v>
      </c>
      <c r="B109" s="57" t="s">
        <v>213</v>
      </c>
      <c r="C109" s="10">
        <v>418</v>
      </c>
      <c r="D109" s="36">
        <v>0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11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6.2" x14ac:dyDescent="0.3">
      <c r="A110" s="21">
        <v>419</v>
      </c>
      <c r="B110" s="57" t="s">
        <v>215</v>
      </c>
      <c r="C110" s="10"/>
      <c r="D110" s="11">
        <v>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32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5.6" x14ac:dyDescent="0.3">
      <c r="A111" s="21">
        <v>420</v>
      </c>
      <c r="B111" s="57" t="s">
        <v>216</v>
      </c>
      <c r="C111" s="10">
        <v>419</v>
      </c>
      <c r="D111" s="11">
        <v>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3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5.6" x14ac:dyDescent="0.3">
      <c r="A112" s="8">
        <v>421</v>
      </c>
      <c r="B112" s="56" t="s">
        <v>220</v>
      </c>
      <c r="C112" s="14">
        <v>420</v>
      </c>
      <c r="D112" s="15">
        <v>85467968822.767242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3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5.6" x14ac:dyDescent="0.3">
      <c r="A113" s="96" t="s">
        <v>231</v>
      </c>
      <c r="B113" s="98" t="s">
        <v>232</v>
      </c>
      <c r="C113" s="10" t="s">
        <v>233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5.6" x14ac:dyDescent="0.3">
      <c r="A114" s="96" t="s">
        <v>240</v>
      </c>
      <c r="B114" s="98" t="s">
        <v>241</v>
      </c>
      <c r="C114" s="10" t="s">
        <v>243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5.6" x14ac:dyDescent="0.3">
      <c r="A115" s="21">
        <v>422</v>
      </c>
      <c r="B115" s="57" t="s">
        <v>249</v>
      </c>
      <c r="C115" s="10"/>
      <c r="D115" s="11">
        <v>0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6.2" x14ac:dyDescent="0.35">
      <c r="A116" s="21">
        <v>423</v>
      </c>
      <c r="B116" s="57" t="s">
        <v>250</v>
      </c>
      <c r="C116" s="30"/>
      <c r="D116" s="32">
        <v>0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11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5.6" x14ac:dyDescent="0.3">
      <c r="A117" s="8">
        <v>430</v>
      </c>
      <c r="B117" s="56" t="s">
        <v>251</v>
      </c>
      <c r="C117" s="35"/>
      <c r="D117" s="36">
        <v>0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11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5.6" x14ac:dyDescent="0.3">
      <c r="A118" s="21">
        <v>431</v>
      </c>
      <c r="B118" s="57" t="s">
        <v>252</v>
      </c>
      <c r="C118" s="35"/>
      <c r="D118" s="36">
        <v>0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11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5.6" x14ac:dyDescent="0.3">
      <c r="A119" s="21">
        <v>432</v>
      </c>
      <c r="B119" s="57" t="s">
        <v>253</v>
      </c>
      <c r="C119" s="35"/>
      <c r="D119" s="36">
        <v>0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11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5.6" x14ac:dyDescent="0.3">
      <c r="A120" s="125">
        <v>440</v>
      </c>
      <c r="B120" s="126" t="s">
        <v>264</v>
      </c>
      <c r="C120" s="127">
        <v>440</v>
      </c>
      <c r="D120" s="128">
        <v>1509883805509.6194</v>
      </c>
      <c r="E120" s="71"/>
      <c r="F120" s="129"/>
      <c r="G120" s="71"/>
      <c r="H120" s="129"/>
      <c r="I120" s="71"/>
      <c r="J120" s="129"/>
      <c r="K120" s="71"/>
      <c r="L120" s="129"/>
      <c r="M120" s="71"/>
      <c r="N120" s="129"/>
      <c r="O120" s="71"/>
      <c r="P120" s="71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5.6" x14ac:dyDescent="0.3">
      <c r="A121" s="6"/>
      <c r="B121" s="6"/>
      <c r="C121" s="130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5.6" x14ac:dyDescent="0.3">
      <c r="A122" s="6"/>
      <c r="B122" s="6"/>
      <c r="C122" s="130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5.6" x14ac:dyDescent="0.3">
      <c r="A123" s="6"/>
      <c r="B123" s="6"/>
      <c r="C123" s="130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5.6" x14ac:dyDescent="0.3">
      <c r="A124" s="6"/>
      <c r="B124" s="6"/>
      <c r="C124" s="130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5.6" x14ac:dyDescent="0.3">
      <c r="A125" s="6"/>
      <c r="B125" s="6"/>
      <c r="C125" s="130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5.6" x14ac:dyDescent="0.3">
      <c r="A126" s="6"/>
      <c r="B126" s="6"/>
      <c r="C126" s="130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5.6" x14ac:dyDescent="0.3">
      <c r="A127" s="6"/>
      <c r="B127" s="6"/>
      <c r="C127" s="130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5.6" x14ac:dyDescent="0.3">
      <c r="A128" s="6"/>
      <c r="B128" s="6"/>
      <c r="C128" s="130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5.6" x14ac:dyDescent="0.3">
      <c r="A129" s="6"/>
      <c r="B129" s="6"/>
      <c r="C129" s="130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5.6" x14ac:dyDescent="0.3">
      <c r="A130" s="6"/>
      <c r="B130" s="6"/>
      <c r="C130" s="130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5.6" x14ac:dyDescent="0.3">
      <c r="A131" s="6"/>
      <c r="B131" s="6"/>
      <c r="C131" s="130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5.6" x14ac:dyDescent="0.3">
      <c r="A132" s="6"/>
      <c r="B132" s="6"/>
      <c r="C132" s="130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5.6" x14ac:dyDescent="0.3">
      <c r="A133" s="6"/>
      <c r="B133" s="6"/>
      <c r="C133" s="130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5.6" x14ac:dyDescent="0.3">
      <c r="A134" s="6"/>
      <c r="B134" s="6"/>
      <c r="C134" s="130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5.6" x14ac:dyDescent="0.3">
      <c r="A135" s="6"/>
      <c r="B135" s="6"/>
      <c r="C135" s="130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5.6" x14ac:dyDescent="0.3">
      <c r="A136" s="6"/>
      <c r="B136" s="6"/>
      <c r="C136" s="130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5.6" x14ac:dyDescent="0.3">
      <c r="A137" s="6"/>
      <c r="B137" s="6"/>
      <c r="C137" s="130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5.6" x14ac:dyDescent="0.3">
      <c r="A138" s="6"/>
      <c r="B138" s="6"/>
      <c r="C138" s="130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5.6" x14ac:dyDescent="0.3">
      <c r="A139" s="6"/>
      <c r="B139" s="6"/>
      <c r="C139" s="130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5.6" x14ac:dyDescent="0.3">
      <c r="A140" s="6"/>
      <c r="B140" s="6"/>
      <c r="C140" s="130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5.6" x14ac:dyDescent="0.3">
      <c r="A141" s="6"/>
      <c r="B141" s="6"/>
      <c r="C141" s="130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5.6" x14ac:dyDescent="0.3">
      <c r="A142" s="6"/>
      <c r="B142" s="6"/>
      <c r="C142" s="130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5.6" x14ac:dyDescent="0.3">
      <c r="A143" s="6"/>
      <c r="B143" s="6"/>
      <c r="C143" s="130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5.6" x14ac:dyDescent="0.3">
      <c r="A144" s="6"/>
      <c r="B144" s="6"/>
      <c r="C144" s="130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5.6" x14ac:dyDescent="0.3">
      <c r="A145" s="6"/>
      <c r="B145" s="6"/>
      <c r="C145" s="130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5.6" x14ac:dyDescent="0.3">
      <c r="A146" s="6"/>
      <c r="B146" s="6"/>
      <c r="C146" s="130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5.6" x14ac:dyDescent="0.3">
      <c r="A147" s="6"/>
      <c r="B147" s="6"/>
      <c r="C147" s="130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5.6" x14ac:dyDescent="0.3">
      <c r="A148" s="6"/>
      <c r="B148" s="6"/>
      <c r="C148" s="130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5.6" x14ac:dyDescent="0.3">
      <c r="A149" s="6"/>
      <c r="B149" s="6"/>
      <c r="C149" s="130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5.6" x14ac:dyDescent="0.3">
      <c r="A150" s="6"/>
      <c r="B150" s="6"/>
      <c r="C150" s="130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5.6" x14ac:dyDescent="0.3">
      <c r="A151" s="6"/>
      <c r="B151" s="6"/>
      <c r="C151" s="130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5.6" x14ac:dyDescent="0.3">
      <c r="A152" s="6"/>
      <c r="B152" s="6"/>
      <c r="C152" s="130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5.6" x14ac:dyDescent="0.3">
      <c r="A153" s="6"/>
      <c r="B153" s="6"/>
      <c r="C153" s="130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5.6" x14ac:dyDescent="0.3">
      <c r="A154" s="6"/>
      <c r="B154" s="6"/>
      <c r="C154" s="130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5.6" x14ac:dyDescent="0.3">
      <c r="A155" s="6"/>
      <c r="B155" s="6"/>
      <c r="C155" s="130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5.6" x14ac:dyDescent="0.3">
      <c r="A156" s="6"/>
      <c r="B156" s="6"/>
      <c r="C156" s="130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5.6" x14ac:dyDescent="0.3">
      <c r="A157" s="6"/>
      <c r="B157" s="6"/>
      <c r="C157" s="130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5.6" x14ac:dyDescent="0.3">
      <c r="A158" s="6"/>
      <c r="B158" s="6"/>
      <c r="C158" s="130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5.6" x14ac:dyDescent="0.3">
      <c r="A159" s="6"/>
      <c r="B159" s="6"/>
      <c r="C159" s="130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5.6" x14ac:dyDescent="0.3">
      <c r="A160" s="6"/>
      <c r="B160" s="6"/>
      <c r="C160" s="130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5.6" x14ac:dyDescent="0.3">
      <c r="A161" s="6"/>
      <c r="B161" s="6"/>
      <c r="C161" s="130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5.6" x14ac:dyDescent="0.3">
      <c r="A162" s="6"/>
      <c r="B162" s="6"/>
      <c r="C162" s="130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5.6" x14ac:dyDescent="0.3">
      <c r="A163" s="6"/>
      <c r="B163" s="6"/>
      <c r="C163" s="130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5.6" x14ac:dyDescent="0.3">
      <c r="A164" s="6"/>
      <c r="B164" s="6"/>
      <c r="C164" s="130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5.6" x14ac:dyDescent="0.3">
      <c r="A165" s="6"/>
      <c r="B165" s="6"/>
      <c r="C165" s="130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5.6" x14ac:dyDescent="0.3">
      <c r="A166" s="6"/>
      <c r="B166" s="6"/>
      <c r="C166" s="130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5.6" x14ac:dyDescent="0.3">
      <c r="A167" s="6"/>
      <c r="B167" s="6"/>
      <c r="C167" s="130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5.6" x14ac:dyDescent="0.3">
      <c r="A168" s="6"/>
      <c r="B168" s="6"/>
      <c r="C168" s="130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5.6" x14ac:dyDescent="0.3">
      <c r="A169" s="6"/>
      <c r="B169" s="6"/>
      <c r="C169" s="130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5.6" x14ac:dyDescent="0.3">
      <c r="A170" s="6"/>
      <c r="B170" s="6"/>
      <c r="C170" s="130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5.6" x14ac:dyDescent="0.3">
      <c r="A171" s="6"/>
      <c r="B171" s="6"/>
      <c r="C171" s="130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5.6" x14ac:dyDescent="0.3">
      <c r="A172" s="6"/>
      <c r="B172" s="6"/>
      <c r="C172" s="130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5.6" x14ac:dyDescent="0.3">
      <c r="A173" s="6"/>
      <c r="B173" s="6"/>
      <c r="C173" s="130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5.6" x14ac:dyDescent="0.3">
      <c r="A174" s="6"/>
      <c r="B174" s="6"/>
      <c r="C174" s="130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5.6" x14ac:dyDescent="0.3">
      <c r="A175" s="6"/>
      <c r="B175" s="6"/>
      <c r="C175" s="130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5.6" x14ac:dyDescent="0.3">
      <c r="A176" s="6"/>
      <c r="B176" s="6"/>
      <c r="C176" s="130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5.6" x14ac:dyDescent="0.3">
      <c r="A177" s="6"/>
      <c r="B177" s="6"/>
      <c r="C177" s="130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.6" x14ac:dyDescent="0.3">
      <c r="A178" s="6"/>
      <c r="B178" s="6"/>
      <c r="C178" s="130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.6" x14ac:dyDescent="0.3">
      <c r="A179" s="6"/>
      <c r="B179" s="6"/>
      <c r="C179" s="130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.6" x14ac:dyDescent="0.3">
      <c r="A180" s="6"/>
      <c r="B180" s="6"/>
      <c r="C180" s="130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.6" x14ac:dyDescent="0.3">
      <c r="A181" s="6"/>
      <c r="B181" s="6"/>
      <c r="C181" s="130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.6" x14ac:dyDescent="0.3">
      <c r="A182" s="6"/>
      <c r="B182" s="6"/>
      <c r="C182" s="130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6" x14ac:dyDescent="0.3">
      <c r="A183" s="6"/>
      <c r="B183" s="6"/>
      <c r="C183" s="130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6" x14ac:dyDescent="0.3">
      <c r="A184" s="6"/>
      <c r="B184" s="6"/>
      <c r="C184" s="130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6" x14ac:dyDescent="0.3">
      <c r="A185" s="6"/>
      <c r="B185" s="6"/>
      <c r="C185" s="130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6" x14ac:dyDescent="0.3">
      <c r="A186" s="6"/>
      <c r="B186" s="6"/>
      <c r="C186" s="130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6" x14ac:dyDescent="0.3">
      <c r="A187" s="6"/>
      <c r="B187" s="6"/>
      <c r="C187" s="130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6" x14ac:dyDescent="0.3">
      <c r="A188" s="6"/>
      <c r="B188" s="6"/>
      <c r="C188" s="130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6" x14ac:dyDescent="0.3">
      <c r="A189" s="6"/>
      <c r="B189" s="6"/>
      <c r="C189" s="130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6" x14ac:dyDescent="0.3">
      <c r="A190" s="6"/>
      <c r="B190" s="6"/>
      <c r="C190" s="130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6" x14ac:dyDescent="0.3">
      <c r="A191" s="6"/>
      <c r="B191" s="6"/>
      <c r="C191" s="130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6" x14ac:dyDescent="0.3">
      <c r="A192" s="6"/>
      <c r="B192" s="6"/>
      <c r="C192" s="130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6" x14ac:dyDescent="0.3">
      <c r="A193" s="6"/>
      <c r="B193" s="6"/>
      <c r="C193" s="130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6" x14ac:dyDescent="0.3">
      <c r="A194" s="6"/>
      <c r="B194" s="6"/>
      <c r="C194" s="130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6" x14ac:dyDescent="0.3">
      <c r="A195" s="6"/>
      <c r="B195" s="6"/>
      <c r="C195" s="130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6" x14ac:dyDescent="0.3">
      <c r="A196" s="6"/>
      <c r="B196" s="6"/>
      <c r="C196" s="130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6" x14ac:dyDescent="0.3">
      <c r="A197" s="6"/>
      <c r="B197" s="6"/>
      <c r="C197" s="130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6" x14ac:dyDescent="0.3">
      <c r="A198" s="6"/>
      <c r="B198" s="6"/>
      <c r="C198" s="130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6" x14ac:dyDescent="0.3">
      <c r="A199" s="6"/>
      <c r="B199" s="6"/>
      <c r="C199" s="130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6" x14ac:dyDescent="0.3">
      <c r="A200" s="6"/>
      <c r="B200" s="6"/>
      <c r="C200" s="130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6" x14ac:dyDescent="0.3">
      <c r="A201" s="6"/>
      <c r="B201" s="6"/>
      <c r="C201" s="130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6" x14ac:dyDescent="0.3">
      <c r="A202" s="6"/>
      <c r="B202" s="6"/>
      <c r="C202" s="130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6" x14ac:dyDescent="0.3">
      <c r="A203" s="6"/>
      <c r="B203" s="6"/>
      <c r="C203" s="130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6" x14ac:dyDescent="0.3">
      <c r="A204" s="6"/>
      <c r="B204" s="6"/>
      <c r="C204" s="130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6" x14ac:dyDescent="0.3">
      <c r="A205" s="6"/>
      <c r="B205" s="6"/>
      <c r="C205" s="130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6" x14ac:dyDescent="0.3">
      <c r="A206" s="6"/>
      <c r="B206" s="6"/>
      <c r="C206" s="130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6" x14ac:dyDescent="0.3">
      <c r="A207" s="6"/>
      <c r="B207" s="6"/>
      <c r="C207" s="130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6" x14ac:dyDescent="0.3">
      <c r="A208" s="6"/>
      <c r="B208" s="6"/>
      <c r="C208" s="130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6" x14ac:dyDescent="0.3">
      <c r="A209" s="6"/>
      <c r="B209" s="6"/>
      <c r="C209" s="130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6" x14ac:dyDescent="0.3">
      <c r="A210" s="6"/>
      <c r="B210" s="6"/>
      <c r="C210" s="130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6" x14ac:dyDescent="0.3">
      <c r="A211" s="6"/>
      <c r="B211" s="6"/>
      <c r="C211" s="130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6" x14ac:dyDescent="0.3">
      <c r="A212" s="6"/>
      <c r="B212" s="6"/>
      <c r="C212" s="130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6" x14ac:dyDescent="0.3">
      <c r="A213" s="6"/>
      <c r="B213" s="6"/>
      <c r="C213" s="130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6" x14ac:dyDescent="0.3">
      <c r="A214" s="6"/>
      <c r="B214" s="6"/>
      <c r="C214" s="130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6" x14ac:dyDescent="0.3">
      <c r="A215" s="6"/>
      <c r="B215" s="6"/>
      <c r="C215" s="130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6" x14ac:dyDescent="0.3">
      <c r="A216" s="6"/>
      <c r="B216" s="6"/>
      <c r="C216" s="130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6" x14ac:dyDescent="0.3">
      <c r="A217" s="6"/>
      <c r="B217" s="6"/>
      <c r="C217" s="130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6" x14ac:dyDescent="0.3">
      <c r="A218" s="6"/>
      <c r="B218" s="6"/>
      <c r="C218" s="130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6" x14ac:dyDescent="0.3">
      <c r="A219" s="6"/>
      <c r="B219" s="6"/>
      <c r="C219" s="130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6" x14ac:dyDescent="0.3">
      <c r="A220" s="6"/>
      <c r="B220" s="6"/>
      <c r="C220" s="130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6" x14ac:dyDescent="0.3">
      <c r="A221" s="6"/>
      <c r="B221" s="6"/>
      <c r="C221" s="130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6" x14ac:dyDescent="0.3">
      <c r="A222" s="6"/>
      <c r="B222" s="6"/>
      <c r="C222" s="130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6" x14ac:dyDescent="0.3">
      <c r="A223" s="6"/>
      <c r="B223" s="6"/>
      <c r="C223" s="130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6" x14ac:dyDescent="0.3">
      <c r="A224" s="6"/>
      <c r="B224" s="6"/>
      <c r="C224" s="130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6" x14ac:dyDescent="0.3">
      <c r="A225" s="6"/>
      <c r="B225" s="6"/>
      <c r="C225" s="130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6" x14ac:dyDescent="0.3">
      <c r="A226" s="6"/>
      <c r="B226" s="6"/>
      <c r="C226" s="130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6" x14ac:dyDescent="0.3">
      <c r="A227" s="6"/>
      <c r="B227" s="6"/>
      <c r="C227" s="130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6" x14ac:dyDescent="0.3">
      <c r="A228" s="6"/>
      <c r="B228" s="6"/>
      <c r="C228" s="130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6" x14ac:dyDescent="0.3">
      <c r="A229" s="6"/>
      <c r="B229" s="6"/>
      <c r="C229" s="130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6" x14ac:dyDescent="0.3">
      <c r="A230" s="6"/>
      <c r="B230" s="6"/>
      <c r="C230" s="130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6" x14ac:dyDescent="0.3">
      <c r="A231" s="6"/>
      <c r="B231" s="6"/>
      <c r="C231" s="130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6" x14ac:dyDescent="0.3">
      <c r="A232" s="6"/>
      <c r="B232" s="6"/>
      <c r="C232" s="130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6" x14ac:dyDescent="0.3">
      <c r="A233" s="6"/>
      <c r="B233" s="6"/>
      <c r="C233" s="130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6" x14ac:dyDescent="0.3">
      <c r="A234" s="6"/>
      <c r="B234" s="6"/>
      <c r="C234" s="130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6" x14ac:dyDescent="0.3">
      <c r="A235" s="6"/>
      <c r="B235" s="6"/>
      <c r="C235" s="130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6" x14ac:dyDescent="0.3">
      <c r="A236" s="6"/>
      <c r="B236" s="6"/>
      <c r="C236" s="130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6" x14ac:dyDescent="0.3">
      <c r="A237" s="6"/>
      <c r="B237" s="6"/>
      <c r="C237" s="130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6" x14ac:dyDescent="0.3">
      <c r="A238" s="6"/>
      <c r="B238" s="6"/>
      <c r="C238" s="130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6" x14ac:dyDescent="0.3">
      <c r="A239" s="6"/>
      <c r="B239" s="6"/>
      <c r="C239" s="130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6" x14ac:dyDescent="0.3">
      <c r="A240" s="6"/>
      <c r="B240" s="6"/>
      <c r="C240" s="130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6" x14ac:dyDescent="0.3">
      <c r="A241" s="6"/>
      <c r="B241" s="6"/>
      <c r="C241" s="130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6" x14ac:dyDescent="0.3">
      <c r="A242" s="6"/>
      <c r="B242" s="6"/>
      <c r="C242" s="130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6" x14ac:dyDescent="0.3">
      <c r="A243" s="6"/>
      <c r="B243" s="6"/>
      <c r="C243" s="130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6" x14ac:dyDescent="0.3">
      <c r="A244" s="6"/>
      <c r="B244" s="6"/>
      <c r="C244" s="130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6" x14ac:dyDescent="0.3">
      <c r="A245" s="6"/>
      <c r="B245" s="6"/>
      <c r="C245" s="130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6" x14ac:dyDescent="0.3">
      <c r="A246" s="6"/>
      <c r="B246" s="6"/>
      <c r="C246" s="130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6" x14ac:dyDescent="0.3">
      <c r="A247" s="6"/>
      <c r="B247" s="6"/>
      <c r="C247" s="130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6" x14ac:dyDescent="0.3">
      <c r="A248" s="6"/>
      <c r="B248" s="6"/>
      <c r="C248" s="130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6" x14ac:dyDescent="0.3">
      <c r="A249" s="6"/>
      <c r="B249" s="6"/>
      <c r="C249" s="130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6" x14ac:dyDescent="0.3">
      <c r="A250" s="6"/>
      <c r="B250" s="6"/>
      <c r="C250" s="130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6" x14ac:dyDescent="0.3">
      <c r="A251" s="6"/>
      <c r="B251" s="6"/>
      <c r="C251" s="130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6" x14ac:dyDescent="0.3">
      <c r="A252" s="6"/>
      <c r="B252" s="6"/>
      <c r="C252" s="130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6" x14ac:dyDescent="0.3">
      <c r="A253" s="6"/>
      <c r="B253" s="6"/>
      <c r="C253" s="130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6" x14ac:dyDescent="0.3">
      <c r="A254" s="6"/>
      <c r="B254" s="6"/>
      <c r="C254" s="130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6" x14ac:dyDescent="0.3">
      <c r="A255" s="6"/>
      <c r="B255" s="6"/>
      <c r="C255" s="130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6" x14ac:dyDescent="0.3">
      <c r="A256" s="6"/>
      <c r="B256" s="6"/>
      <c r="C256" s="130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6" x14ac:dyDescent="0.3">
      <c r="A257" s="6"/>
      <c r="B257" s="6"/>
      <c r="C257" s="130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6" x14ac:dyDescent="0.3">
      <c r="A258" s="6"/>
      <c r="B258" s="6"/>
      <c r="C258" s="130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6" x14ac:dyDescent="0.3">
      <c r="A259" s="6"/>
      <c r="B259" s="6"/>
      <c r="C259" s="130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6" x14ac:dyDescent="0.3">
      <c r="A260" s="6"/>
      <c r="B260" s="6"/>
      <c r="C260" s="130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6" x14ac:dyDescent="0.3">
      <c r="A261" s="6"/>
      <c r="B261" s="6"/>
      <c r="C261" s="130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6" x14ac:dyDescent="0.3">
      <c r="A262" s="6"/>
      <c r="B262" s="6"/>
      <c r="C262" s="130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6" x14ac:dyDescent="0.3">
      <c r="A263" s="6"/>
      <c r="B263" s="6"/>
      <c r="C263" s="130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6" x14ac:dyDescent="0.3">
      <c r="A264" s="6"/>
      <c r="B264" s="6"/>
      <c r="C264" s="130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6" x14ac:dyDescent="0.3">
      <c r="A265" s="6"/>
      <c r="B265" s="6"/>
      <c r="C265" s="130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6" x14ac:dyDescent="0.3">
      <c r="A266" s="6"/>
      <c r="B266" s="6"/>
      <c r="C266" s="130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6" x14ac:dyDescent="0.3">
      <c r="A267" s="6"/>
      <c r="B267" s="6"/>
      <c r="C267" s="130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6" x14ac:dyDescent="0.3">
      <c r="A268" s="6"/>
      <c r="B268" s="6"/>
      <c r="C268" s="130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6" x14ac:dyDescent="0.3">
      <c r="A269" s="6"/>
      <c r="B269" s="6"/>
      <c r="C269" s="130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6" x14ac:dyDescent="0.3">
      <c r="A270" s="6"/>
      <c r="B270" s="6"/>
      <c r="C270" s="130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6" x14ac:dyDescent="0.3">
      <c r="A271" s="6"/>
      <c r="B271" s="6"/>
      <c r="C271" s="130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6" x14ac:dyDescent="0.3">
      <c r="A272" s="6"/>
      <c r="B272" s="6"/>
      <c r="C272" s="130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6" x14ac:dyDescent="0.3">
      <c r="A273" s="6"/>
      <c r="B273" s="6"/>
      <c r="C273" s="130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6" x14ac:dyDescent="0.3">
      <c r="A274" s="6"/>
      <c r="B274" s="6"/>
      <c r="C274" s="130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6" x14ac:dyDescent="0.3">
      <c r="A275" s="6"/>
      <c r="B275" s="6"/>
      <c r="C275" s="130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6" x14ac:dyDescent="0.3">
      <c r="A276" s="6"/>
      <c r="B276" s="6"/>
      <c r="C276" s="130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6" x14ac:dyDescent="0.3">
      <c r="A277" s="6"/>
      <c r="B277" s="6"/>
      <c r="C277" s="130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6" x14ac:dyDescent="0.3">
      <c r="A278" s="6"/>
      <c r="B278" s="6"/>
      <c r="C278" s="130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6" x14ac:dyDescent="0.3">
      <c r="A279" s="6"/>
      <c r="B279" s="6"/>
      <c r="C279" s="130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6" x14ac:dyDescent="0.3">
      <c r="A280" s="6"/>
      <c r="B280" s="6"/>
      <c r="C280" s="130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6" x14ac:dyDescent="0.3">
      <c r="A281" s="6"/>
      <c r="B281" s="6"/>
      <c r="C281" s="130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6" x14ac:dyDescent="0.3">
      <c r="A282" s="6"/>
      <c r="B282" s="6"/>
      <c r="C282" s="130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6" x14ac:dyDescent="0.3">
      <c r="A283" s="6"/>
      <c r="B283" s="6"/>
      <c r="C283" s="130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6" x14ac:dyDescent="0.3">
      <c r="A284" s="6"/>
      <c r="B284" s="6"/>
      <c r="C284" s="130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6" x14ac:dyDescent="0.3">
      <c r="A285" s="6"/>
      <c r="B285" s="6"/>
      <c r="C285" s="130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6" x14ac:dyDescent="0.3">
      <c r="A286" s="6"/>
      <c r="B286" s="6"/>
      <c r="C286" s="130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6" x14ac:dyDescent="0.3">
      <c r="A287" s="6"/>
      <c r="B287" s="6"/>
      <c r="C287" s="130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6" x14ac:dyDescent="0.3">
      <c r="A288" s="6"/>
      <c r="B288" s="6"/>
      <c r="C288" s="130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6" x14ac:dyDescent="0.3">
      <c r="A289" s="6"/>
      <c r="B289" s="6"/>
      <c r="C289" s="130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6" x14ac:dyDescent="0.3">
      <c r="A290" s="6"/>
      <c r="B290" s="6"/>
      <c r="C290" s="130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6" x14ac:dyDescent="0.3">
      <c r="A291" s="6"/>
      <c r="B291" s="6"/>
      <c r="C291" s="130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6" x14ac:dyDescent="0.3">
      <c r="A292" s="6"/>
      <c r="B292" s="6"/>
      <c r="C292" s="130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6" x14ac:dyDescent="0.3">
      <c r="A293" s="6"/>
      <c r="B293" s="6"/>
      <c r="C293" s="130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6" x14ac:dyDescent="0.3">
      <c r="A294" s="6"/>
      <c r="B294" s="6"/>
      <c r="C294" s="130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6" x14ac:dyDescent="0.3">
      <c r="A295" s="6"/>
      <c r="B295" s="6"/>
      <c r="C295" s="130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6" x14ac:dyDescent="0.3">
      <c r="A296" s="6"/>
      <c r="B296" s="6"/>
      <c r="C296" s="130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6" x14ac:dyDescent="0.3">
      <c r="A297" s="6"/>
      <c r="B297" s="6"/>
      <c r="C297" s="130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6" x14ac:dyDescent="0.3">
      <c r="A298" s="6"/>
      <c r="B298" s="6"/>
      <c r="C298" s="130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6" x14ac:dyDescent="0.3">
      <c r="A299" s="6"/>
      <c r="B299" s="6"/>
      <c r="C299" s="130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6" x14ac:dyDescent="0.3">
      <c r="A300" s="6"/>
      <c r="B300" s="6"/>
      <c r="C300" s="130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6" x14ac:dyDescent="0.3">
      <c r="A301" s="6"/>
      <c r="B301" s="6"/>
      <c r="C301" s="130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6" x14ac:dyDescent="0.3">
      <c r="A302" s="6"/>
      <c r="B302" s="6"/>
      <c r="C302" s="130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6" x14ac:dyDescent="0.3">
      <c r="A303" s="6"/>
      <c r="B303" s="6"/>
      <c r="C303" s="130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6" x14ac:dyDescent="0.3">
      <c r="A304" s="6"/>
      <c r="B304" s="6"/>
      <c r="C304" s="130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6" x14ac:dyDescent="0.3">
      <c r="A305" s="6"/>
      <c r="B305" s="6"/>
      <c r="C305" s="130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6" x14ac:dyDescent="0.3">
      <c r="A306" s="6"/>
      <c r="B306" s="6"/>
      <c r="C306" s="130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6" x14ac:dyDescent="0.3">
      <c r="A307" s="6"/>
      <c r="B307" s="6"/>
      <c r="C307" s="130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6" x14ac:dyDescent="0.3">
      <c r="A308" s="6"/>
      <c r="B308" s="6"/>
      <c r="C308" s="130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6" x14ac:dyDescent="0.3">
      <c r="A309" s="6"/>
      <c r="B309" s="6"/>
      <c r="C309" s="130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6" x14ac:dyDescent="0.3">
      <c r="A310" s="6"/>
      <c r="B310" s="6"/>
      <c r="C310" s="130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6" x14ac:dyDescent="0.3">
      <c r="A311" s="6"/>
      <c r="B311" s="6"/>
      <c r="C311" s="130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6" x14ac:dyDescent="0.3">
      <c r="A312" s="6"/>
      <c r="B312" s="6"/>
      <c r="C312" s="130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6" x14ac:dyDescent="0.3">
      <c r="A313" s="6"/>
      <c r="B313" s="6"/>
      <c r="C313" s="130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6" x14ac:dyDescent="0.3">
      <c r="A314" s="6"/>
      <c r="B314" s="6"/>
      <c r="C314" s="130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6" x14ac:dyDescent="0.3">
      <c r="A315" s="6"/>
      <c r="B315" s="6"/>
      <c r="C315" s="130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6" x14ac:dyDescent="0.3">
      <c r="A316" s="6"/>
      <c r="B316" s="6"/>
      <c r="C316" s="130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6" x14ac:dyDescent="0.3">
      <c r="A317" s="6"/>
      <c r="B317" s="6"/>
      <c r="C317" s="130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6" x14ac:dyDescent="0.3">
      <c r="A318" s="6"/>
      <c r="B318" s="6"/>
      <c r="C318" s="130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6" x14ac:dyDescent="0.3">
      <c r="A319" s="6"/>
      <c r="B319" s="6"/>
      <c r="C319" s="130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6" x14ac:dyDescent="0.3">
      <c r="A320" s="6"/>
      <c r="B320" s="6"/>
      <c r="C320" s="130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6" x14ac:dyDescent="0.3">
      <c r="A321" s="6"/>
      <c r="B321" s="6"/>
      <c r="C321" s="130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6" x14ac:dyDescent="0.3">
      <c r="A322" s="6"/>
      <c r="B322" s="6"/>
      <c r="C322" s="130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6" x14ac:dyDescent="0.3">
      <c r="A323" s="6"/>
      <c r="B323" s="6"/>
      <c r="C323" s="130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6" x14ac:dyDescent="0.3">
      <c r="A324" s="6"/>
      <c r="B324" s="6"/>
      <c r="C324" s="130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6" x14ac:dyDescent="0.3">
      <c r="A325" s="6"/>
      <c r="B325" s="6"/>
      <c r="C325" s="130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6" x14ac:dyDescent="0.3">
      <c r="A326" s="6"/>
      <c r="B326" s="6"/>
      <c r="C326" s="130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6" x14ac:dyDescent="0.3">
      <c r="A327" s="6"/>
      <c r="B327" s="6"/>
      <c r="C327" s="130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6" x14ac:dyDescent="0.3">
      <c r="A328" s="6"/>
      <c r="B328" s="6"/>
      <c r="C328" s="130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6" x14ac:dyDescent="0.3">
      <c r="A329" s="6"/>
      <c r="B329" s="6"/>
      <c r="C329" s="130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6" x14ac:dyDescent="0.3">
      <c r="A330" s="6"/>
      <c r="B330" s="6"/>
      <c r="C330" s="130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6" x14ac:dyDescent="0.3">
      <c r="A331" s="6"/>
      <c r="B331" s="6"/>
      <c r="C331" s="130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6" x14ac:dyDescent="0.3">
      <c r="A332" s="6"/>
      <c r="B332" s="6"/>
      <c r="C332" s="130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6" x14ac:dyDescent="0.3">
      <c r="A333" s="6"/>
      <c r="B333" s="6"/>
      <c r="C333" s="130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6" x14ac:dyDescent="0.3">
      <c r="A334" s="6"/>
      <c r="B334" s="6"/>
      <c r="C334" s="130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6" x14ac:dyDescent="0.3">
      <c r="A335" s="6"/>
      <c r="B335" s="6"/>
      <c r="C335" s="130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6" x14ac:dyDescent="0.3">
      <c r="A336" s="6"/>
      <c r="B336" s="6"/>
      <c r="C336" s="130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6" x14ac:dyDescent="0.3">
      <c r="A337" s="6"/>
      <c r="B337" s="6"/>
      <c r="C337" s="130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6" x14ac:dyDescent="0.3">
      <c r="A338" s="6"/>
      <c r="B338" s="6"/>
      <c r="C338" s="130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6" x14ac:dyDescent="0.3">
      <c r="A339" s="6"/>
      <c r="B339" s="6"/>
      <c r="C339" s="130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6" x14ac:dyDescent="0.3">
      <c r="A340" s="6"/>
      <c r="B340" s="6"/>
      <c r="C340" s="130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6" x14ac:dyDescent="0.3">
      <c r="A341" s="6"/>
      <c r="B341" s="6"/>
      <c r="C341" s="130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6" x14ac:dyDescent="0.3">
      <c r="A342" s="6"/>
      <c r="B342" s="6"/>
      <c r="C342" s="130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6" x14ac:dyDescent="0.3">
      <c r="A343" s="6"/>
      <c r="B343" s="6"/>
      <c r="C343" s="130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6" x14ac:dyDescent="0.3">
      <c r="A344" s="6"/>
      <c r="B344" s="6"/>
      <c r="C344" s="130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6" x14ac:dyDescent="0.3">
      <c r="A345" s="6"/>
      <c r="B345" s="6"/>
      <c r="C345" s="130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6" x14ac:dyDescent="0.3">
      <c r="A346" s="6"/>
      <c r="B346" s="6"/>
      <c r="C346" s="130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6" x14ac:dyDescent="0.3">
      <c r="A347" s="6"/>
      <c r="B347" s="6"/>
      <c r="C347" s="130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6" x14ac:dyDescent="0.3">
      <c r="A348" s="6"/>
      <c r="B348" s="6"/>
      <c r="C348" s="130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6" x14ac:dyDescent="0.3">
      <c r="A349" s="6"/>
      <c r="B349" s="6"/>
      <c r="C349" s="130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6" x14ac:dyDescent="0.3">
      <c r="A350" s="6"/>
      <c r="B350" s="6"/>
      <c r="C350" s="130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6" x14ac:dyDescent="0.3">
      <c r="A351" s="6"/>
      <c r="B351" s="6"/>
      <c r="C351" s="130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6" x14ac:dyDescent="0.3">
      <c r="A352" s="6"/>
      <c r="B352" s="6"/>
      <c r="C352" s="130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6" x14ac:dyDescent="0.3">
      <c r="A353" s="6"/>
      <c r="B353" s="6"/>
      <c r="C353" s="130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6" x14ac:dyDescent="0.3">
      <c r="A354" s="6"/>
      <c r="B354" s="6"/>
      <c r="C354" s="130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6" x14ac:dyDescent="0.3">
      <c r="A355" s="6"/>
      <c r="B355" s="6"/>
      <c r="C355" s="130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6" x14ac:dyDescent="0.3">
      <c r="A356" s="6"/>
      <c r="B356" s="6"/>
      <c r="C356" s="130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6" x14ac:dyDescent="0.3">
      <c r="A357" s="6"/>
      <c r="B357" s="6"/>
      <c r="C357" s="130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6" x14ac:dyDescent="0.3">
      <c r="A358" s="6"/>
      <c r="B358" s="6"/>
      <c r="C358" s="130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6" x14ac:dyDescent="0.3">
      <c r="A359" s="6"/>
      <c r="B359" s="6"/>
      <c r="C359" s="130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6" x14ac:dyDescent="0.3">
      <c r="A360" s="6"/>
      <c r="B360" s="6"/>
      <c r="C360" s="130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6" x14ac:dyDescent="0.3">
      <c r="A361" s="6"/>
      <c r="B361" s="6"/>
      <c r="C361" s="130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6" x14ac:dyDescent="0.3">
      <c r="A362" s="6"/>
      <c r="B362" s="6"/>
      <c r="C362" s="130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6" x14ac:dyDescent="0.3">
      <c r="A363" s="6"/>
      <c r="B363" s="6"/>
      <c r="C363" s="130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6" x14ac:dyDescent="0.3">
      <c r="A364" s="6"/>
      <c r="B364" s="6"/>
      <c r="C364" s="130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6" x14ac:dyDescent="0.3">
      <c r="A365" s="6"/>
      <c r="B365" s="6"/>
      <c r="C365" s="130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6" x14ac:dyDescent="0.3">
      <c r="A366" s="6"/>
      <c r="B366" s="6"/>
      <c r="C366" s="130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6" x14ac:dyDescent="0.3">
      <c r="A367" s="6"/>
      <c r="B367" s="6"/>
      <c r="C367" s="130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6" x14ac:dyDescent="0.3">
      <c r="A368" s="6"/>
      <c r="B368" s="6"/>
      <c r="C368" s="130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6" x14ac:dyDescent="0.3">
      <c r="A369" s="6"/>
      <c r="B369" s="6"/>
      <c r="C369" s="130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6" x14ac:dyDescent="0.3">
      <c r="A370" s="6"/>
      <c r="B370" s="6"/>
      <c r="C370" s="130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6" x14ac:dyDescent="0.3">
      <c r="A371" s="6"/>
      <c r="B371" s="6"/>
      <c r="C371" s="130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6" x14ac:dyDescent="0.3">
      <c r="A372" s="6"/>
      <c r="B372" s="6"/>
      <c r="C372" s="130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6" x14ac:dyDescent="0.3">
      <c r="A373" s="6"/>
      <c r="B373" s="6"/>
      <c r="C373" s="130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6" x14ac:dyDescent="0.3">
      <c r="A374" s="6"/>
      <c r="B374" s="6"/>
      <c r="C374" s="130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6" x14ac:dyDescent="0.3">
      <c r="A375" s="6"/>
      <c r="B375" s="6"/>
      <c r="C375" s="130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6" x14ac:dyDescent="0.3">
      <c r="A376" s="6"/>
      <c r="B376" s="6"/>
      <c r="C376" s="130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6" x14ac:dyDescent="0.3">
      <c r="A377" s="6"/>
      <c r="B377" s="6"/>
      <c r="C377" s="130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6" x14ac:dyDescent="0.3">
      <c r="A378" s="6"/>
      <c r="B378" s="6"/>
      <c r="C378" s="130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6" x14ac:dyDescent="0.3">
      <c r="A379" s="6"/>
      <c r="B379" s="6"/>
      <c r="C379" s="130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6" x14ac:dyDescent="0.3">
      <c r="A380" s="6"/>
      <c r="B380" s="6"/>
      <c r="C380" s="130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6" x14ac:dyDescent="0.3">
      <c r="A381" s="6"/>
      <c r="B381" s="6"/>
      <c r="C381" s="130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6" x14ac:dyDescent="0.3">
      <c r="A382" s="6"/>
      <c r="B382" s="6"/>
      <c r="C382" s="130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6" x14ac:dyDescent="0.3">
      <c r="A383" s="6"/>
      <c r="B383" s="6"/>
      <c r="C383" s="130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6" x14ac:dyDescent="0.3">
      <c r="A384" s="6"/>
      <c r="B384" s="6"/>
      <c r="C384" s="130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6" x14ac:dyDescent="0.3">
      <c r="A385" s="6"/>
      <c r="B385" s="6"/>
      <c r="C385" s="130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6" x14ac:dyDescent="0.3">
      <c r="A386" s="6"/>
      <c r="B386" s="6"/>
      <c r="C386" s="130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6" x14ac:dyDescent="0.3">
      <c r="A387" s="6"/>
      <c r="B387" s="6"/>
      <c r="C387" s="130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6" x14ac:dyDescent="0.3">
      <c r="A388" s="6"/>
      <c r="B388" s="6"/>
      <c r="C388" s="130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6" x14ac:dyDescent="0.3">
      <c r="A389" s="6"/>
      <c r="B389" s="6"/>
      <c r="C389" s="130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6" x14ac:dyDescent="0.3">
      <c r="A390" s="6"/>
      <c r="B390" s="6"/>
      <c r="C390" s="130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6" x14ac:dyDescent="0.3">
      <c r="A391" s="6"/>
      <c r="B391" s="6"/>
      <c r="C391" s="130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6" x14ac:dyDescent="0.3">
      <c r="A392" s="6"/>
      <c r="B392" s="6"/>
      <c r="C392" s="130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6" x14ac:dyDescent="0.3">
      <c r="A393" s="6"/>
      <c r="B393" s="6"/>
      <c r="C393" s="130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6" x14ac:dyDescent="0.3">
      <c r="A394" s="6"/>
      <c r="B394" s="6"/>
      <c r="C394" s="130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6" x14ac:dyDescent="0.3">
      <c r="A395" s="6"/>
      <c r="B395" s="6"/>
      <c r="C395" s="130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6" x14ac:dyDescent="0.3">
      <c r="A396" s="6"/>
      <c r="B396" s="6"/>
      <c r="C396" s="130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6" x14ac:dyDescent="0.3">
      <c r="A397" s="6"/>
      <c r="B397" s="6"/>
      <c r="C397" s="130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6" x14ac:dyDescent="0.3">
      <c r="A398" s="6"/>
      <c r="B398" s="6"/>
      <c r="C398" s="130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6" x14ac:dyDescent="0.3">
      <c r="A399" s="6"/>
      <c r="B399" s="6"/>
      <c r="C399" s="130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6" x14ac:dyDescent="0.3">
      <c r="A400" s="6"/>
      <c r="B400" s="6"/>
      <c r="C400" s="130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6" x14ac:dyDescent="0.3">
      <c r="A401" s="6"/>
      <c r="B401" s="6"/>
      <c r="C401" s="130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6" x14ac:dyDescent="0.3">
      <c r="A402" s="6"/>
      <c r="B402" s="6"/>
      <c r="C402" s="130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6" x14ac:dyDescent="0.3">
      <c r="A403" s="6"/>
      <c r="B403" s="6"/>
      <c r="C403" s="130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6" x14ac:dyDescent="0.3">
      <c r="A404" s="6"/>
      <c r="B404" s="6"/>
      <c r="C404" s="130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6" x14ac:dyDescent="0.3">
      <c r="A405" s="6"/>
      <c r="B405" s="6"/>
      <c r="C405" s="130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6" x14ac:dyDescent="0.3">
      <c r="A406" s="6"/>
      <c r="B406" s="6"/>
      <c r="C406" s="130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6" x14ac:dyDescent="0.3">
      <c r="A407" s="6"/>
      <c r="B407" s="6"/>
      <c r="C407" s="130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6" x14ac:dyDescent="0.3">
      <c r="A408" s="6"/>
      <c r="B408" s="6"/>
      <c r="C408" s="130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6" x14ac:dyDescent="0.3">
      <c r="A409" s="6"/>
      <c r="B409" s="6"/>
      <c r="C409" s="130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6" x14ac:dyDescent="0.3">
      <c r="A410" s="6"/>
      <c r="B410" s="6"/>
      <c r="C410" s="130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6" x14ac:dyDescent="0.3">
      <c r="A411" s="6"/>
      <c r="B411" s="6"/>
      <c r="C411" s="130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6" x14ac:dyDescent="0.3">
      <c r="A412" s="6"/>
      <c r="B412" s="6"/>
      <c r="C412" s="130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6" x14ac:dyDescent="0.3">
      <c r="A413" s="6"/>
      <c r="B413" s="6"/>
      <c r="C413" s="130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6" x14ac:dyDescent="0.3">
      <c r="A414" s="6"/>
      <c r="B414" s="6"/>
      <c r="C414" s="130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6" x14ac:dyDescent="0.3">
      <c r="A415" s="6"/>
      <c r="B415" s="6"/>
      <c r="C415" s="130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6" x14ac:dyDescent="0.3">
      <c r="A416" s="6"/>
      <c r="B416" s="6"/>
      <c r="C416" s="130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6" x14ac:dyDescent="0.3">
      <c r="A417" s="6"/>
      <c r="B417" s="6"/>
      <c r="C417" s="130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6" x14ac:dyDescent="0.3">
      <c r="A418" s="6"/>
      <c r="B418" s="6"/>
      <c r="C418" s="130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6" x14ac:dyDescent="0.3">
      <c r="A419" s="6"/>
      <c r="B419" s="6"/>
      <c r="C419" s="130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6" x14ac:dyDescent="0.3">
      <c r="A420" s="6"/>
      <c r="B420" s="6"/>
      <c r="C420" s="130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6" x14ac:dyDescent="0.3">
      <c r="A421" s="6"/>
      <c r="B421" s="6"/>
      <c r="C421" s="130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6" x14ac:dyDescent="0.3">
      <c r="A422" s="6"/>
      <c r="B422" s="6"/>
      <c r="C422" s="130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6" x14ac:dyDescent="0.3">
      <c r="A423" s="6"/>
      <c r="B423" s="6"/>
      <c r="C423" s="130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6" x14ac:dyDescent="0.3">
      <c r="A424" s="6"/>
      <c r="B424" s="6"/>
      <c r="C424" s="130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6" x14ac:dyDescent="0.3">
      <c r="A425" s="6"/>
      <c r="B425" s="6"/>
      <c r="C425" s="130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6" x14ac:dyDescent="0.3">
      <c r="A426" s="6"/>
      <c r="B426" s="6"/>
      <c r="C426" s="130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6" x14ac:dyDescent="0.3">
      <c r="A427" s="6"/>
      <c r="B427" s="6"/>
      <c r="C427" s="130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6" x14ac:dyDescent="0.3">
      <c r="A428" s="6"/>
      <c r="B428" s="6"/>
      <c r="C428" s="130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6" x14ac:dyDescent="0.3">
      <c r="A429" s="6"/>
      <c r="B429" s="6"/>
      <c r="C429" s="130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6" x14ac:dyDescent="0.3">
      <c r="A430" s="6"/>
      <c r="B430" s="6"/>
      <c r="C430" s="130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6" x14ac:dyDescent="0.3">
      <c r="A431" s="6"/>
      <c r="B431" s="6"/>
      <c r="C431" s="130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6" x14ac:dyDescent="0.3">
      <c r="A432" s="6"/>
      <c r="B432" s="6"/>
      <c r="C432" s="130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6" x14ac:dyDescent="0.3">
      <c r="A433" s="6"/>
      <c r="B433" s="6"/>
      <c r="C433" s="130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6" x14ac:dyDescent="0.3">
      <c r="A434" s="6"/>
      <c r="B434" s="6"/>
      <c r="C434" s="130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6" x14ac:dyDescent="0.3">
      <c r="A435" s="6"/>
      <c r="B435" s="6"/>
      <c r="C435" s="130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6" x14ac:dyDescent="0.3">
      <c r="A436" s="6"/>
      <c r="B436" s="6"/>
      <c r="C436" s="130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6" x14ac:dyDescent="0.3">
      <c r="A437" s="6"/>
      <c r="B437" s="6"/>
      <c r="C437" s="130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6" x14ac:dyDescent="0.3">
      <c r="A438" s="6"/>
      <c r="B438" s="6"/>
      <c r="C438" s="130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6" x14ac:dyDescent="0.3">
      <c r="A439" s="6"/>
      <c r="B439" s="6"/>
      <c r="C439" s="130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6" x14ac:dyDescent="0.3">
      <c r="A440" s="6"/>
      <c r="B440" s="6"/>
      <c r="C440" s="130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6" x14ac:dyDescent="0.3">
      <c r="A441" s="6"/>
      <c r="B441" s="6"/>
      <c r="C441" s="130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6" x14ac:dyDescent="0.3">
      <c r="A442" s="6"/>
      <c r="B442" s="6"/>
      <c r="C442" s="130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6" x14ac:dyDescent="0.3">
      <c r="A443" s="6"/>
      <c r="B443" s="6"/>
      <c r="C443" s="130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6" x14ac:dyDescent="0.3">
      <c r="A444" s="6"/>
      <c r="B444" s="6"/>
      <c r="C444" s="130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6" x14ac:dyDescent="0.3">
      <c r="A445" s="6"/>
      <c r="B445" s="6"/>
      <c r="C445" s="130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6" x14ac:dyDescent="0.3">
      <c r="A446" s="6"/>
      <c r="B446" s="6"/>
      <c r="C446" s="130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6" x14ac:dyDescent="0.3">
      <c r="A447" s="6"/>
      <c r="B447" s="6"/>
      <c r="C447" s="130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6" x14ac:dyDescent="0.3">
      <c r="A448" s="6"/>
      <c r="B448" s="6"/>
      <c r="C448" s="130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6" x14ac:dyDescent="0.3">
      <c r="A449" s="6"/>
      <c r="B449" s="6"/>
      <c r="C449" s="130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6" x14ac:dyDescent="0.3">
      <c r="A450" s="6"/>
      <c r="B450" s="6"/>
      <c r="C450" s="130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6" x14ac:dyDescent="0.3">
      <c r="A451" s="6"/>
      <c r="B451" s="6"/>
      <c r="C451" s="130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6" x14ac:dyDescent="0.3">
      <c r="A452" s="6"/>
      <c r="B452" s="6"/>
      <c r="C452" s="130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6" x14ac:dyDescent="0.3">
      <c r="A453" s="6"/>
      <c r="B453" s="6"/>
      <c r="C453" s="130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6" x14ac:dyDescent="0.3">
      <c r="A454" s="6"/>
      <c r="B454" s="6"/>
      <c r="C454" s="130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6" x14ac:dyDescent="0.3">
      <c r="A455" s="6"/>
      <c r="B455" s="6"/>
      <c r="C455" s="130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6" x14ac:dyDescent="0.3">
      <c r="A456" s="6"/>
      <c r="B456" s="6"/>
      <c r="C456" s="130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6" x14ac:dyDescent="0.3">
      <c r="A457" s="6"/>
      <c r="B457" s="6"/>
      <c r="C457" s="130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6" x14ac:dyDescent="0.3">
      <c r="A458" s="6"/>
      <c r="B458" s="6"/>
      <c r="C458" s="130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6" x14ac:dyDescent="0.3">
      <c r="A459" s="6"/>
      <c r="B459" s="6"/>
      <c r="C459" s="130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6" x14ac:dyDescent="0.3">
      <c r="A460" s="6"/>
      <c r="B460" s="6"/>
      <c r="C460" s="130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6" x14ac:dyDescent="0.3">
      <c r="A461" s="6"/>
      <c r="B461" s="6"/>
      <c r="C461" s="130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6" x14ac:dyDescent="0.3">
      <c r="A462" s="6"/>
      <c r="B462" s="6"/>
      <c r="C462" s="130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6" x14ac:dyDescent="0.3">
      <c r="A463" s="6"/>
      <c r="B463" s="6"/>
      <c r="C463" s="130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6" x14ac:dyDescent="0.3">
      <c r="A464" s="6"/>
      <c r="B464" s="6"/>
      <c r="C464" s="130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6" x14ac:dyDescent="0.3">
      <c r="A465" s="6"/>
      <c r="B465" s="6"/>
      <c r="C465" s="130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6" x14ac:dyDescent="0.3">
      <c r="A466" s="6"/>
      <c r="B466" s="6"/>
      <c r="C466" s="130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6" x14ac:dyDescent="0.3">
      <c r="A467" s="6"/>
      <c r="B467" s="6"/>
      <c r="C467" s="130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6" x14ac:dyDescent="0.3">
      <c r="A468" s="6"/>
      <c r="B468" s="6"/>
      <c r="C468" s="130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6" x14ac:dyDescent="0.3">
      <c r="A469" s="6"/>
      <c r="B469" s="6"/>
      <c r="C469" s="130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6" x14ac:dyDescent="0.3">
      <c r="A470" s="6"/>
      <c r="B470" s="6"/>
      <c r="C470" s="130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6" x14ac:dyDescent="0.3">
      <c r="A471" s="6"/>
      <c r="B471" s="6"/>
      <c r="C471" s="130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6" x14ac:dyDescent="0.3">
      <c r="A472" s="6"/>
      <c r="B472" s="6"/>
      <c r="C472" s="130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6" x14ac:dyDescent="0.3">
      <c r="A473" s="6"/>
      <c r="B473" s="6"/>
      <c r="C473" s="130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6" x14ac:dyDescent="0.3">
      <c r="A474" s="6"/>
      <c r="B474" s="6"/>
      <c r="C474" s="130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6" x14ac:dyDescent="0.3">
      <c r="A475" s="6"/>
      <c r="B475" s="6"/>
      <c r="C475" s="130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6" x14ac:dyDescent="0.3">
      <c r="A476" s="6"/>
      <c r="B476" s="6"/>
      <c r="C476" s="130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6" x14ac:dyDescent="0.3">
      <c r="A477" s="6"/>
      <c r="B477" s="6"/>
      <c r="C477" s="130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6" x14ac:dyDescent="0.3">
      <c r="A478" s="6"/>
      <c r="B478" s="6"/>
      <c r="C478" s="130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6" x14ac:dyDescent="0.3">
      <c r="A479" s="6"/>
      <c r="B479" s="6"/>
      <c r="C479" s="130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6" x14ac:dyDescent="0.3">
      <c r="A480" s="6"/>
      <c r="B480" s="6"/>
      <c r="C480" s="130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6" x14ac:dyDescent="0.3">
      <c r="A481" s="6"/>
      <c r="B481" s="6"/>
      <c r="C481" s="130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6" x14ac:dyDescent="0.3">
      <c r="A482" s="6"/>
      <c r="B482" s="6"/>
      <c r="C482" s="130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6" x14ac:dyDescent="0.3">
      <c r="A483" s="6"/>
      <c r="B483" s="6"/>
      <c r="C483" s="130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6" x14ac:dyDescent="0.3">
      <c r="A484" s="6"/>
      <c r="B484" s="6"/>
      <c r="C484" s="130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6" x14ac:dyDescent="0.3">
      <c r="A485" s="6"/>
      <c r="B485" s="6"/>
      <c r="C485" s="130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6" x14ac:dyDescent="0.3">
      <c r="A486" s="6"/>
      <c r="B486" s="6"/>
      <c r="C486" s="130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6" x14ac:dyDescent="0.3">
      <c r="A487" s="6"/>
      <c r="B487" s="6"/>
      <c r="C487" s="130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6" x14ac:dyDescent="0.3">
      <c r="A488" s="6"/>
      <c r="B488" s="6"/>
      <c r="C488" s="130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6" x14ac:dyDescent="0.3">
      <c r="A489" s="6"/>
      <c r="B489" s="6"/>
      <c r="C489" s="130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6" x14ac:dyDescent="0.3">
      <c r="A490" s="6"/>
      <c r="B490" s="6"/>
      <c r="C490" s="130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6" x14ac:dyDescent="0.3">
      <c r="A491" s="6"/>
      <c r="B491" s="6"/>
      <c r="C491" s="130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6" x14ac:dyDescent="0.3">
      <c r="A492" s="6"/>
      <c r="B492" s="6"/>
      <c r="C492" s="130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6" x14ac:dyDescent="0.3">
      <c r="A493" s="6"/>
      <c r="B493" s="6"/>
      <c r="C493" s="130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6" x14ac:dyDescent="0.3">
      <c r="A494" s="6"/>
      <c r="B494" s="6"/>
      <c r="C494" s="130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6" x14ac:dyDescent="0.3">
      <c r="A495" s="6"/>
      <c r="B495" s="6"/>
      <c r="C495" s="130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6" x14ac:dyDescent="0.3">
      <c r="A496" s="6"/>
      <c r="B496" s="6"/>
      <c r="C496" s="130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6" x14ac:dyDescent="0.3">
      <c r="A497" s="6"/>
      <c r="B497" s="6"/>
      <c r="C497" s="130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6" x14ac:dyDescent="0.3">
      <c r="A498" s="6"/>
      <c r="B498" s="6"/>
      <c r="C498" s="130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6" x14ac:dyDescent="0.3">
      <c r="A499" s="6"/>
      <c r="B499" s="6"/>
      <c r="C499" s="130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6" x14ac:dyDescent="0.3">
      <c r="A500" s="6"/>
      <c r="B500" s="6"/>
      <c r="C500" s="130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6" x14ac:dyDescent="0.3">
      <c r="A501" s="6"/>
      <c r="B501" s="6"/>
      <c r="C501" s="130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6" x14ac:dyDescent="0.3">
      <c r="A502" s="6"/>
      <c r="B502" s="6"/>
      <c r="C502" s="130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6" x14ac:dyDescent="0.3">
      <c r="A503" s="6"/>
      <c r="B503" s="6"/>
      <c r="C503" s="130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6" x14ac:dyDescent="0.3">
      <c r="A504" s="6"/>
      <c r="B504" s="6"/>
      <c r="C504" s="130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6" x14ac:dyDescent="0.3">
      <c r="A505" s="6"/>
      <c r="B505" s="6"/>
      <c r="C505" s="130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6" x14ac:dyDescent="0.3">
      <c r="A506" s="6"/>
      <c r="B506" s="6"/>
      <c r="C506" s="130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6" x14ac:dyDescent="0.3">
      <c r="A507" s="6"/>
      <c r="B507" s="6"/>
      <c r="C507" s="130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6" x14ac:dyDescent="0.3">
      <c r="A508" s="6"/>
      <c r="B508" s="6"/>
      <c r="C508" s="130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6" x14ac:dyDescent="0.3">
      <c r="A509" s="6"/>
      <c r="B509" s="6"/>
      <c r="C509" s="130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6" x14ac:dyDescent="0.3">
      <c r="A510" s="6"/>
      <c r="B510" s="6"/>
      <c r="C510" s="130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6" x14ac:dyDescent="0.3">
      <c r="A511" s="6"/>
      <c r="B511" s="6"/>
      <c r="C511" s="130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6" x14ac:dyDescent="0.3">
      <c r="A512" s="6"/>
      <c r="B512" s="6"/>
      <c r="C512" s="130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6" x14ac:dyDescent="0.3">
      <c r="A513" s="6"/>
      <c r="B513" s="6"/>
      <c r="C513" s="130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6" x14ac:dyDescent="0.3">
      <c r="A514" s="6"/>
      <c r="B514" s="6"/>
      <c r="C514" s="130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6" x14ac:dyDescent="0.3">
      <c r="A515" s="6"/>
      <c r="B515" s="6"/>
      <c r="C515" s="130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6" x14ac:dyDescent="0.3">
      <c r="A516" s="6"/>
      <c r="B516" s="6"/>
      <c r="C516" s="130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6" x14ac:dyDescent="0.3">
      <c r="A517" s="6"/>
      <c r="B517" s="6"/>
      <c r="C517" s="130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6" x14ac:dyDescent="0.3">
      <c r="A518" s="6"/>
      <c r="B518" s="6"/>
      <c r="C518" s="130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6" x14ac:dyDescent="0.3">
      <c r="A519" s="6"/>
      <c r="B519" s="6"/>
      <c r="C519" s="130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6" x14ac:dyDescent="0.3">
      <c r="A520" s="6"/>
      <c r="B520" s="6"/>
      <c r="C520" s="130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6" x14ac:dyDescent="0.3">
      <c r="A521" s="6"/>
      <c r="B521" s="6"/>
      <c r="C521" s="130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6" x14ac:dyDescent="0.3">
      <c r="A522" s="6"/>
      <c r="B522" s="6"/>
      <c r="C522" s="130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6" x14ac:dyDescent="0.3">
      <c r="A523" s="6"/>
      <c r="B523" s="6"/>
      <c r="C523" s="130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6" x14ac:dyDescent="0.3">
      <c r="A524" s="6"/>
      <c r="B524" s="6"/>
      <c r="C524" s="130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6" x14ac:dyDescent="0.3">
      <c r="A525" s="6"/>
      <c r="B525" s="6"/>
      <c r="C525" s="130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6" x14ac:dyDescent="0.3">
      <c r="A526" s="6"/>
      <c r="B526" s="6"/>
      <c r="C526" s="130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6" x14ac:dyDescent="0.3">
      <c r="A527" s="6"/>
      <c r="B527" s="6"/>
      <c r="C527" s="130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6" x14ac:dyDescent="0.3">
      <c r="A528" s="6"/>
      <c r="B528" s="6"/>
      <c r="C528" s="130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6" x14ac:dyDescent="0.3">
      <c r="A529" s="6"/>
      <c r="B529" s="6"/>
      <c r="C529" s="130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6" x14ac:dyDescent="0.3">
      <c r="A530" s="6"/>
      <c r="B530" s="6"/>
      <c r="C530" s="130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6" x14ac:dyDescent="0.3">
      <c r="A531" s="6"/>
      <c r="B531" s="6"/>
      <c r="C531" s="130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6" x14ac:dyDescent="0.3">
      <c r="A532" s="6"/>
      <c r="B532" s="6"/>
      <c r="C532" s="130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6" x14ac:dyDescent="0.3">
      <c r="A533" s="6"/>
      <c r="B533" s="6"/>
      <c r="C533" s="130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6" x14ac:dyDescent="0.3">
      <c r="A534" s="6"/>
      <c r="B534" s="6"/>
      <c r="C534" s="130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6" x14ac:dyDescent="0.3">
      <c r="A535" s="6"/>
      <c r="B535" s="6"/>
      <c r="C535" s="130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6" x14ac:dyDescent="0.3">
      <c r="A536" s="6"/>
      <c r="B536" s="6"/>
      <c r="C536" s="130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6" x14ac:dyDescent="0.3">
      <c r="A537" s="6"/>
      <c r="B537" s="6"/>
      <c r="C537" s="130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6" x14ac:dyDescent="0.3">
      <c r="A538" s="6"/>
      <c r="B538" s="6"/>
      <c r="C538" s="130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6" x14ac:dyDescent="0.3">
      <c r="A539" s="6"/>
      <c r="B539" s="6"/>
      <c r="C539" s="130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6" x14ac:dyDescent="0.3">
      <c r="A540" s="6"/>
      <c r="B540" s="6"/>
      <c r="C540" s="130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6" x14ac:dyDescent="0.3">
      <c r="A541" s="6"/>
      <c r="B541" s="6"/>
      <c r="C541" s="130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6" x14ac:dyDescent="0.3">
      <c r="A542" s="6"/>
      <c r="B542" s="6"/>
      <c r="C542" s="130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6" x14ac:dyDescent="0.3">
      <c r="A543" s="6"/>
      <c r="B543" s="6"/>
      <c r="C543" s="130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6" x14ac:dyDescent="0.3">
      <c r="A544" s="6"/>
      <c r="B544" s="6"/>
      <c r="C544" s="130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6" x14ac:dyDescent="0.3">
      <c r="A545" s="6"/>
      <c r="B545" s="6"/>
      <c r="C545" s="130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6" x14ac:dyDescent="0.3">
      <c r="A546" s="6"/>
      <c r="B546" s="6"/>
      <c r="C546" s="130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6" x14ac:dyDescent="0.3">
      <c r="A547" s="6"/>
      <c r="B547" s="6"/>
      <c r="C547" s="130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6" x14ac:dyDescent="0.3">
      <c r="A548" s="6"/>
      <c r="B548" s="6"/>
      <c r="C548" s="130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6" x14ac:dyDescent="0.3">
      <c r="A549" s="6"/>
      <c r="B549" s="6"/>
      <c r="C549" s="130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6" x14ac:dyDescent="0.3">
      <c r="A550" s="6"/>
      <c r="B550" s="6"/>
      <c r="C550" s="130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6" x14ac:dyDescent="0.3">
      <c r="A551" s="6"/>
      <c r="B551" s="6"/>
      <c r="C551" s="130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6" x14ac:dyDescent="0.3">
      <c r="A552" s="6"/>
      <c r="B552" s="6"/>
      <c r="C552" s="130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6" x14ac:dyDescent="0.3">
      <c r="A553" s="6"/>
      <c r="B553" s="6"/>
      <c r="C553" s="130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6" x14ac:dyDescent="0.3">
      <c r="A554" s="6"/>
      <c r="B554" s="6"/>
      <c r="C554" s="130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6" x14ac:dyDescent="0.3">
      <c r="A555" s="6"/>
      <c r="B555" s="6"/>
      <c r="C555" s="130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6" x14ac:dyDescent="0.3">
      <c r="A556" s="6"/>
      <c r="B556" s="6"/>
      <c r="C556" s="130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6" x14ac:dyDescent="0.3">
      <c r="A557" s="6"/>
      <c r="B557" s="6"/>
      <c r="C557" s="130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6" x14ac:dyDescent="0.3">
      <c r="A558" s="6"/>
      <c r="B558" s="6"/>
      <c r="C558" s="130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6" x14ac:dyDescent="0.3">
      <c r="A559" s="6"/>
      <c r="B559" s="6"/>
      <c r="C559" s="130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6" x14ac:dyDescent="0.3">
      <c r="A560" s="6"/>
      <c r="B560" s="6"/>
      <c r="C560" s="130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6" x14ac:dyDescent="0.3">
      <c r="A561" s="6"/>
      <c r="B561" s="6"/>
      <c r="C561" s="130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6" x14ac:dyDescent="0.3">
      <c r="A562" s="6"/>
      <c r="B562" s="6"/>
      <c r="C562" s="130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6" x14ac:dyDescent="0.3">
      <c r="A563" s="6"/>
      <c r="B563" s="6"/>
      <c r="C563" s="130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6" x14ac:dyDescent="0.3">
      <c r="A564" s="6"/>
      <c r="B564" s="6"/>
      <c r="C564" s="130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6" x14ac:dyDescent="0.3">
      <c r="A565" s="6"/>
      <c r="B565" s="6"/>
      <c r="C565" s="130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6" x14ac:dyDescent="0.3">
      <c r="A566" s="6"/>
      <c r="B566" s="6"/>
      <c r="C566" s="130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6" x14ac:dyDescent="0.3">
      <c r="A567" s="6"/>
      <c r="B567" s="6"/>
      <c r="C567" s="130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6" x14ac:dyDescent="0.3">
      <c r="A568" s="6"/>
      <c r="B568" s="6"/>
      <c r="C568" s="130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6" x14ac:dyDescent="0.3">
      <c r="A569" s="6"/>
      <c r="B569" s="6"/>
      <c r="C569" s="130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6" x14ac:dyDescent="0.3">
      <c r="A570" s="6"/>
      <c r="B570" s="6"/>
      <c r="C570" s="130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6" x14ac:dyDescent="0.3">
      <c r="A571" s="6"/>
      <c r="B571" s="6"/>
      <c r="C571" s="130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6" x14ac:dyDescent="0.3">
      <c r="A572" s="6"/>
      <c r="B572" s="6"/>
      <c r="C572" s="130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6" x14ac:dyDescent="0.3">
      <c r="A573" s="6"/>
      <c r="B573" s="6"/>
      <c r="C573" s="130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6" x14ac:dyDescent="0.3">
      <c r="A574" s="6"/>
      <c r="B574" s="6"/>
      <c r="C574" s="130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6" x14ac:dyDescent="0.3">
      <c r="A575" s="6"/>
      <c r="B575" s="6"/>
      <c r="C575" s="130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6" x14ac:dyDescent="0.3">
      <c r="A576" s="6"/>
      <c r="B576" s="6"/>
      <c r="C576" s="130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6" x14ac:dyDescent="0.3">
      <c r="A577" s="6"/>
      <c r="B577" s="6"/>
      <c r="C577" s="130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6" x14ac:dyDescent="0.3">
      <c r="A578" s="6"/>
      <c r="B578" s="6"/>
      <c r="C578" s="130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6" x14ac:dyDescent="0.3">
      <c r="A579" s="6"/>
      <c r="B579" s="6"/>
      <c r="C579" s="130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6" x14ac:dyDescent="0.3">
      <c r="A580" s="6"/>
      <c r="B580" s="6"/>
      <c r="C580" s="130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6" x14ac:dyDescent="0.3">
      <c r="A581" s="6"/>
      <c r="B581" s="6"/>
      <c r="C581" s="130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6" x14ac:dyDescent="0.3">
      <c r="A582" s="6"/>
      <c r="B582" s="6"/>
      <c r="C582" s="130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6" x14ac:dyDescent="0.3">
      <c r="A583" s="6"/>
      <c r="B583" s="6"/>
      <c r="C583" s="130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6" x14ac:dyDescent="0.3">
      <c r="A584" s="6"/>
      <c r="B584" s="6"/>
      <c r="C584" s="130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6" x14ac:dyDescent="0.3">
      <c r="A585" s="6"/>
      <c r="B585" s="6"/>
      <c r="C585" s="130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6" x14ac:dyDescent="0.3">
      <c r="A586" s="6"/>
      <c r="B586" s="6"/>
      <c r="C586" s="130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6" x14ac:dyDescent="0.3">
      <c r="A587" s="6"/>
      <c r="B587" s="6"/>
      <c r="C587" s="130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6" x14ac:dyDescent="0.3">
      <c r="A588" s="6"/>
      <c r="B588" s="6"/>
      <c r="C588" s="130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6" x14ac:dyDescent="0.3">
      <c r="A589" s="6"/>
      <c r="B589" s="6"/>
      <c r="C589" s="130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6" x14ac:dyDescent="0.3">
      <c r="A590" s="6"/>
      <c r="B590" s="6"/>
      <c r="C590" s="130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6" x14ac:dyDescent="0.3">
      <c r="A591" s="6"/>
      <c r="B591" s="6"/>
      <c r="C591" s="130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6" x14ac:dyDescent="0.3">
      <c r="A592" s="6"/>
      <c r="B592" s="6"/>
      <c r="C592" s="130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6" x14ac:dyDescent="0.3">
      <c r="A593" s="6"/>
      <c r="B593" s="6"/>
      <c r="C593" s="130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6" x14ac:dyDescent="0.3">
      <c r="A594" s="6"/>
      <c r="B594" s="6"/>
      <c r="C594" s="130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6" x14ac:dyDescent="0.3">
      <c r="A595" s="6"/>
      <c r="B595" s="6"/>
      <c r="C595" s="130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6" x14ac:dyDescent="0.3">
      <c r="A596" s="6"/>
      <c r="B596" s="6"/>
      <c r="C596" s="130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6" x14ac:dyDescent="0.3">
      <c r="A597" s="6"/>
      <c r="B597" s="6"/>
      <c r="C597" s="130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6" x14ac:dyDescent="0.3">
      <c r="A598" s="6"/>
      <c r="B598" s="6"/>
      <c r="C598" s="130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6" x14ac:dyDescent="0.3">
      <c r="A599" s="6"/>
      <c r="B599" s="6"/>
      <c r="C599" s="130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6" x14ac:dyDescent="0.3">
      <c r="A600" s="6"/>
      <c r="B600" s="6"/>
      <c r="C600" s="130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6" x14ac:dyDescent="0.3">
      <c r="A601" s="6"/>
      <c r="B601" s="6"/>
      <c r="C601" s="130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6" x14ac:dyDescent="0.3">
      <c r="A602" s="6"/>
      <c r="B602" s="6"/>
      <c r="C602" s="130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6" x14ac:dyDescent="0.3">
      <c r="A603" s="6"/>
      <c r="B603" s="6"/>
      <c r="C603" s="130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6" x14ac:dyDescent="0.3">
      <c r="A604" s="6"/>
      <c r="B604" s="6"/>
      <c r="C604" s="130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6" x14ac:dyDescent="0.3">
      <c r="A605" s="6"/>
      <c r="B605" s="6"/>
      <c r="C605" s="130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6" x14ac:dyDescent="0.3">
      <c r="A606" s="6"/>
      <c r="B606" s="6"/>
      <c r="C606" s="130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6" x14ac:dyDescent="0.3">
      <c r="A607" s="6"/>
      <c r="B607" s="6"/>
      <c r="C607" s="130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6" x14ac:dyDescent="0.3">
      <c r="A608" s="6"/>
      <c r="B608" s="6"/>
      <c r="C608" s="130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6" x14ac:dyDescent="0.3">
      <c r="A609" s="6"/>
      <c r="B609" s="6"/>
      <c r="C609" s="130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6" x14ac:dyDescent="0.3">
      <c r="A610" s="6"/>
      <c r="B610" s="6"/>
      <c r="C610" s="130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6" x14ac:dyDescent="0.3">
      <c r="A611" s="6"/>
      <c r="B611" s="6"/>
      <c r="C611" s="130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6" x14ac:dyDescent="0.3">
      <c r="A612" s="6"/>
      <c r="B612" s="6"/>
      <c r="C612" s="130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6" x14ac:dyDescent="0.3">
      <c r="A613" s="6"/>
      <c r="B613" s="6"/>
      <c r="C613" s="130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6" x14ac:dyDescent="0.3">
      <c r="A614" s="6"/>
      <c r="B614" s="6"/>
      <c r="C614" s="130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6" x14ac:dyDescent="0.3">
      <c r="A615" s="6"/>
      <c r="B615" s="6"/>
      <c r="C615" s="130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6" x14ac:dyDescent="0.3">
      <c r="A616" s="6"/>
      <c r="B616" s="6"/>
      <c r="C616" s="130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6" x14ac:dyDescent="0.3">
      <c r="A617" s="6"/>
      <c r="B617" s="6"/>
      <c r="C617" s="130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6" x14ac:dyDescent="0.3">
      <c r="A618" s="6"/>
      <c r="B618" s="6"/>
      <c r="C618" s="130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6" x14ac:dyDescent="0.3">
      <c r="A619" s="6"/>
      <c r="B619" s="6"/>
      <c r="C619" s="130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6" x14ac:dyDescent="0.3">
      <c r="A620" s="6"/>
      <c r="B620" s="6"/>
      <c r="C620" s="130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6" x14ac:dyDescent="0.3">
      <c r="A621" s="6"/>
      <c r="B621" s="6"/>
      <c r="C621" s="130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6" x14ac:dyDescent="0.3">
      <c r="A622" s="6"/>
      <c r="B622" s="6"/>
      <c r="C622" s="130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6" x14ac:dyDescent="0.3">
      <c r="A623" s="6"/>
      <c r="B623" s="6"/>
      <c r="C623" s="130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6" x14ac:dyDescent="0.3">
      <c r="A624" s="6"/>
      <c r="B624" s="6"/>
      <c r="C624" s="130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6" x14ac:dyDescent="0.3">
      <c r="A625" s="6"/>
      <c r="B625" s="6"/>
      <c r="C625" s="130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6" x14ac:dyDescent="0.3">
      <c r="A626" s="6"/>
      <c r="B626" s="6"/>
      <c r="C626" s="130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6" x14ac:dyDescent="0.3">
      <c r="A627" s="6"/>
      <c r="B627" s="6"/>
      <c r="C627" s="130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6" x14ac:dyDescent="0.3">
      <c r="A628" s="6"/>
      <c r="B628" s="6"/>
      <c r="C628" s="130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6" x14ac:dyDescent="0.3">
      <c r="A629" s="6"/>
      <c r="B629" s="6"/>
      <c r="C629" s="130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6" x14ac:dyDescent="0.3">
      <c r="A630" s="6"/>
      <c r="B630" s="6"/>
      <c r="C630" s="130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6" x14ac:dyDescent="0.3">
      <c r="A631" s="6"/>
      <c r="B631" s="6"/>
      <c r="C631" s="130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6" x14ac:dyDescent="0.3">
      <c r="A632" s="6"/>
      <c r="B632" s="6"/>
      <c r="C632" s="130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6" x14ac:dyDescent="0.3">
      <c r="A633" s="6"/>
      <c r="B633" s="6"/>
      <c r="C633" s="130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6" x14ac:dyDescent="0.3">
      <c r="A634" s="6"/>
      <c r="B634" s="6"/>
      <c r="C634" s="130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6" x14ac:dyDescent="0.3">
      <c r="A635" s="6"/>
      <c r="B635" s="6"/>
      <c r="C635" s="130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6" x14ac:dyDescent="0.3">
      <c r="A636" s="6"/>
      <c r="B636" s="6"/>
      <c r="C636" s="130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6" x14ac:dyDescent="0.3">
      <c r="A637" s="6"/>
      <c r="B637" s="6"/>
      <c r="C637" s="130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6" x14ac:dyDescent="0.3">
      <c r="A638" s="6"/>
      <c r="B638" s="6"/>
      <c r="C638" s="130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6" x14ac:dyDescent="0.3">
      <c r="A639" s="6"/>
      <c r="B639" s="6"/>
      <c r="C639" s="130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6" x14ac:dyDescent="0.3">
      <c r="A640" s="6"/>
      <c r="B640" s="6"/>
      <c r="C640" s="130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6" x14ac:dyDescent="0.3">
      <c r="A641" s="6"/>
      <c r="B641" s="6"/>
      <c r="C641" s="130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6" x14ac:dyDescent="0.3">
      <c r="A642" s="6"/>
      <c r="B642" s="6"/>
      <c r="C642" s="130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6" x14ac:dyDescent="0.3">
      <c r="A643" s="6"/>
      <c r="B643" s="6"/>
      <c r="C643" s="130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6" x14ac:dyDescent="0.3">
      <c r="A644" s="6"/>
      <c r="B644" s="6"/>
      <c r="C644" s="130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6" x14ac:dyDescent="0.3">
      <c r="A645" s="6"/>
      <c r="B645" s="6"/>
      <c r="C645" s="130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6" x14ac:dyDescent="0.3">
      <c r="A646" s="6"/>
      <c r="B646" s="6"/>
      <c r="C646" s="130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6" x14ac:dyDescent="0.3">
      <c r="A647" s="6"/>
      <c r="B647" s="6"/>
      <c r="C647" s="130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6" x14ac:dyDescent="0.3">
      <c r="A648" s="6"/>
      <c r="B648" s="6"/>
      <c r="C648" s="130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6" x14ac:dyDescent="0.3">
      <c r="A649" s="6"/>
      <c r="B649" s="6"/>
      <c r="C649" s="130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6" x14ac:dyDescent="0.3">
      <c r="A650" s="6"/>
      <c r="B650" s="6"/>
      <c r="C650" s="130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6" x14ac:dyDescent="0.3">
      <c r="A651" s="6"/>
      <c r="B651" s="6"/>
      <c r="C651" s="130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6" x14ac:dyDescent="0.3">
      <c r="A652" s="6"/>
      <c r="B652" s="6"/>
      <c r="C652" s="130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6" x14ac:dyDescent="0.3">
      <c r="A653" s="6"/>
      <c r="B653" s="6"/>
      <c r="C653" s="130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6" x14ac:dyDescent="0.3">
      <c r="A654" s="6"/>
      <c r="B654" s="6"/>
      <c r="C654" s="130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6" x14ac:dyDescent="0.3">
      <c r="A655" s="6"/>
      <c r="B655" s="6"/>
      <c r="C655" s="130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6" x14ac:dyDescent="0.3">
      <c r="A656" s="6"/>
      <c r="B656" s="6"/>
      <c r="C656" s="130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6" x14ac:dyDescent="0.3">
      <c r="A657" s="6"/>
      <c r="B657" s="6"/>
      <c r="C657" s="130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6" x14ac:dyDescent="0.3">
      <c r="A658" s="6"/>
      <c r="B658" s="6"/>
      <c r="C658" s="130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6" x14ac:dyDescent="0.3">
      <c r="A659" s="6"/>
      <c r="B659" s="6"/>
      <c r="C659" s="130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6" x14ac:dyDescent="0.3">
      <c r="A660" s="6"/>
      <c r="B660" s="6"/>
      <c r="C660" s="130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6" x14ac:dyDescent="0.3">
      <c r="A661" s="6"/>
      <c r="B661" s="6"/>
      <c r="C661" s="130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6" x14ac:dyDescent="0.3">
      <c r="A662" s="6"/>
      <c r="B662" s="6"/>
      <c r="C662" s="130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6" x14ac:dyDescent="0.3">
      <c r="A663" s="6"/>
      <c r="B663" s="6"/>
      <c r="C663" s="130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6" x14ac:dyDescent="0.3">
      <c r="A664" s="6"/>
      <c r="B664" s="6"/>
      <c r="C664" s="130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6" x14ac:dyDescent="0.3">
      <c r="A665" s="6"/>
      <c r="B665" s="6"/>
      <c r="C665" s="130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6" x14ac:dyDescent="0.3">
      <c r="A666" s="6"/>
      <c r="B666" s="6"/>
      <c r="C666" s="130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6" x14ac:dyDescent="0.3">
      <c r="A667" s="6"/>
      <c r="B667" s="6"/>
      <c r="C667" s="130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6" x14ac:dyDescent="0.3">
      <c r="A668" s="6"/>
      <c r="B668" s="6"/>
      <c r="C668" s="130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6" x14ac:dyDescent="0.3">
      <c r="A669" s="6"/>
      <c r="B669" s="6"/>
      <c r="C669" s="130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6" x14ac:dyDescent="0.3">
      <c r="A670" s="6"/>
      <c r="B670" s="6"/>
      <c r="C670" s="130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6" x14ac:dyDescent="0.3">
      <c r="A671" s="6"/>
      <c r="B671" s="6"/>
      <c r="C671" s="130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6" x14ac:dyDescent="0.3">
      <c r="A672" s="6"/>
      <c r="B672" s="6"/>
      <c r="C672" s="130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6" x14ac:dyDescent="0.3">
      <c r="A673" s="6"/>
      <c r="B673" s="6"/>
      <c r="C673" s="130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6" x14ac:dyDescent="0.3">
      <c r="A674" s="6"/>
      <c r="B674" s="6"/>
      <c r="C674" s="130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6" x14ac:dyDescent="0.3">
      <c r="A675" s="6"/>
      <c r="B675" s="6"/>
      <c r="C675" s="130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6" x14ac:dyDescent="0.3">
      <c r="A676" s="6"/>
      <c r="B676" s="6"/>
      <c r="C676" s="130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6" x14ac:dyDescent="0.3">
      <c r="A677" s="6"/>
      <c r="B677" s="6"/>
      <c r="C677" s="130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6" x14ac:dyDescent="0.3">
      <c r="A678" s="6"/>
      <c r="B678" s="6"/>
      <c r="C678" s="130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6" x14ac:dyDescent="0.3">
      <c r="A679" s="6"/>
      <c r="B679" s="6"/>
      <c r="C679" s="130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6" x14ac:dyDescent="0.3">
      <c r="A680" s="6"/>
      <c r="B680" s="6"/>
      <c r="C680" s="130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6" x14ac:dyDescent="0.3">
      <c r="A681" s="6"/>
      <c r="B681" s="6"/>
      <c r="C681" s="130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6" x14ac:dyDescent="0.3">
      <c r="A682" s="6"/>
      <c r="B682" s="6"/>
      <c r="C682" s="130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6" x14ac:dyDescent="0.3">
      <c r="A683" s="6"/>
      <c r="B683" s="6"/>
      <c r="C683" s="130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6" x14ac:dyDescent="0.3">
      <c r="A684" s="6"/>
      <c r="B684" s="6"/>
      <c r="C684" s="130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6" x14ac:dyDescent="0.3">
      <c r="A685" s="6"/>
      <c r="B685" s="6"/>
      <c r="C685" s="130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6" x14ac:dyDescent="0.3">
      <c r="A686" s="6"/>
      <c r="B686" s="6"/>
      <c r="C686" s="130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6" x14ac:dyDescent="0.3">
      <c r="A687" s="6"/>
      <c r="B687" s="6"/>
      <c r="C687" s="130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6" x14ac:dyDescent="0.3">
      <c r="A688" s="6"/>
      <c r="B688" s="6"/>
      <c r="C688" s="130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6" x14ac:dyDescent="0.3">
      <c r="A689" s="6"/>
      <c r="B689" s="6"/>
      <c r="C689" s="130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6" x14ac:dyDescent="0.3">
      <c r="A690" s="6"/>
      <c r="B690" s="6"/>
      <c r="C690" s="130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6" x14ac:dyDescent="0.3">
      <c r="A691" s="6"/>
      <c r="B691" s="6"/>
      <c r="C691" s="130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6" x14ac:dyDescent="0.3">
      <c r="A692" s="6"/>
      <c r="B692" s="6"/>
      <c r="C692" s="130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6" x14ac:dyDescent="0.3">
      <c r="A693" s="6"/>
      <c r="B693" s="6"/>
      <c r="C693" s="130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6" x14ac:dyDescent="0.3">
      <c r="A694" s="6"/>
      <c r="B694" s="6"/>
      <c r="C694" s="130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6" x14ac:dyDescent="0.3">
      <c r="A695" s="6"/>
      <c r="B695" s="6"/>
      <c r="C695" s="130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6" x14ac:dyDescent="0.3">
      <c r="A696" s="6"/>
      <c r="B696" s="6"/>
      <c r="C696" s="130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6" x14ac:dyDescent="0.3">
      <c r="A697" s="6"/>
      <c r="B697" s="6"/>
      <c r="C697" s="130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6" x14ac:dyDescent="0.3">
      <c r="A698" s="6"/>
      <c r="B698" s="6"/>
      <c r="C698" s="130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6" x14ac:dyDescent="0.3">
      <c r="A699" s="6"/>
      <c r="B699" s="6"/>
      <c r="C699" s="130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6" x14ac:dyDescent="0.3">
      <c r="A700" s="6"/>
      <c r="B700" s="6"/>
      <c r="C700" s="130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6" x14ac:dyDescent="0.3">
      <c r="A701" s="6"/>
      <c r="B701" s="6"/>
      <c r="C701" s="130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6" x14ac:dyDescent="0.3">
      <c r="A702" s="6"/>
      <c r="B702" s="6"/>
      <c r="C702" s="130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6" x14ac:dyDescent="0.3">
      <c r="A703" s="6"/>
      <c r="B703" s="6"/>
      <c r="C703" s="130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6" x14ac:dyDescent="0.3">
      <c r="A704" s="6"/>
      <c r="B704" s="6"/>
      <c r="C704" s="130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6" x14ac:dyDescent="0.3">
      <c r="A705" s="6"/>
      <c r="B705" s="6"/>
      <c r="C705" s="130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6" x14ac:dyDescent="0.3">
      <c r="A706" s="6"/>
      <c r="B706" s="6"/>
      <c r="C706" s="130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6" x14ac:dyDescent="0.3">
      <c r="A707" s="6"/>
      <c r="B707" s="6"/>
      <c r="C707" s="130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6" x14ac:dyDescent="0.3">
      <c r="A708" s="6"/>
      <c r="B708" s="6"/>
      <c r="C708" s="130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6" x14ac:dyDescent="0.3">
      <c r="A709" s="6"/>
      <c r="B709" s="6"/>
      <c r="C709" s="130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6" x14ac:dyDescent="0.3">
      <c r="A710" s="6"/>
      <c r="B710" s="6"/>
      <c r="C710" s="130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6" x14ac:dyDescent="0.3">
      <c r="A711" s="6"/>
      <c r="B711" s="6"/>
      <c r="C711" s="130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6" x14ac:dyDescent="0.3">
      <c r="A712" s="6"/>
      <c r="B712" s="6"/>
      <c r="C712" s="130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6" x14ac:dyDescent="0.3">
      <c r="A713" s="6"/>
      <c r="B713" s="6"/>
      <c r="C713" s="130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6" x14ac:dyDescent="0.3">
      <c r="A714" s="6"/>
      <c r="B714" s="6"/>
      <c r="C714" s="130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6" x14ac:dyDescent="0.3">
      <c r="A715" s="6"/>
      <c r="B715" s="6"/>
      <c r="C715" s="130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6" x14ac:dyDescent="0.3">
      <c r="A716" s="6"/>
      <c r="B716" s="6"/>
      <c r="C716" s="130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6" x14ac:dyDescent="0.3">
      <c r="A717" s="6"/>
      <c r="B717" s="6"/>
      <c r="C717" s="130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6" x14ac:dyDescent="0.3">
      <c r="A718" s="6"/>
      <c r="B718" s="6"/>
      <c r="C718" s="130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6" x14ac:dyDescent="0.3">
      <c r="A719" s="6"/>
      <c r="B719" s="6"/>
      <c r="C719" s="130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6" x14ac:dyDescent="0.3">
      <c r="A720" s="6"/>
      <c r="B720" s="6"/>
      <c r="C720" s="130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6" x14ac:dyDescent="0.3">
      <c r="A721" s="6"/>
      <c r="B721" s="6"/>
      <c r="C721" s="130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6" x14ac:dyDescent="0.3">
      <c r="A722" s="6"/>
      <c r="B722" s="6"/>
      <c r="C722" s="130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6" x14ac:dyDescent="0.3">
      <c r="A723" s="6"/>
      <c r="B723" s="6"/>
      <c r="C723" s="130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6" x14ac:dyDescent="0.3">
      <c r="A724" s="6"/>
      <c r="B724" s="6"/>
      <c r="C724" s="130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6" x14ac:dyDescent="0.3">
      <c r="A725" s="6"/>
      <c r="B725" s="6"/>
      <c r="C725" s="130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6" x14ac:dyDescent="0.3">
      <c r="A726" s="6"/>
      <c r="B726" s="6"/>
      <c r="C726" s="130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6" x14ac:dyDescent="0.3">
      <c r="A727" s="6"/>
      <c r="B727" s="6"/>
      <c r="C727" s="130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6" x14ac:dyDescent="0.3">
      <c r="A728" s="6"/>
      <c r="B728" s="6"/>
      <c r="C728" s="130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6" x14ac:dyDescent="0.3">
      <c r="A729" s="6"/>
      <c r="B729" s="6"/>
      <c r="C729" s="130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6" x14ac:dyDescent="0.3">
      <c r="A730" s="6"/>
      <c r="B730" s="6"/>
      <c r="C730" s="130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6" x14ac:dyDescent="0.3">
      <c r="A731" s="6"/>
      <c r="B731" s="6"/>
      <c r="C731" s="130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6" x14ac:dyDescent="0.3">
      <c r="A732" s="6"/>
      <c r="B732" s="6"/>
      <c r="C732" s="130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6" x14ac:dyDescent="0.3">
      <c r="A733" s="6"/>
      <c r="B733" s="6"/>
      <c r="C733" s="130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6" x14ac:dyDescent="0.3">
      <c r="A734" s="6"/>
      <c r="B734" s="6"/>
      <c r="C734" s="130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6" x14ac:dyDescent="0.3">
      <c r="A735" s="6"/>
      <c r="B735" s="6"/>
      <c r="C735" s="130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6" x14ac:dyDescent="0.3">
      <c r="A736" s="6"/>
      <c r="B736" s="6"/>
      <c r="C736" s="130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6" x14ac:dyDescent="0.3">
      <c r="A737" s="6"/>
      <c r="B737" s="6"/>
      <c r="C737" s="130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6" x14ac:dyDescent="0.3">
      <c r="A738" s="6"/>
      <c r="B738" s="6"/>
      <c r="C738" s="130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6" x14ac:dyDescent="0.3">
      <c r="A739" s="6"/>
      <c r="B739" s="6"/>
      <c r="C739" s="130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6" x14ac:dyDescent="0.3">
      <c r="A740" s="6"/>
      <c r="B740" s="6"/>
      <c r="C740" s="130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6" x14ac:dyDescent="0.3">
      <c r="A741" s="6"/>
      <c r="B741" s="6"/>
      <c r="C741" s="130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6" x14ac:dyDescent="0.3">
      <c r="A742" s="6"/>
      <c r="B742" s="6"/>
      <c r="C742" s="130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6" x14ac:dyDescent="0.3">
      <c r="A743" s="6"/>
      <c r="B743" s="6"/>
      <c r="C743" s="130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6" x14ac:dyDescent="0.3">
      <c r="A744" s="6"/>
      <c r="B744" s="6"/>
      <c r="C744" s="130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6" x14ac:dyDescent="0.3">
      <c r="A745" s="6"/>
      <c r="B745" s="6"/>
      <c r="C745" s="130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6" x14ac:dyDescent="0.3">
      <c r="A746" s="6"/>
      <c r="B746" s="6"/>
      <c r="C746" s="130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6" x14ac:dyDescent="0.3">
      <c r="A747" s="6"/>
      <c r="B747" s="6"/>
      <c r="C747" s="130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6" x14ac:dyDescent="0.3">
      <c r="A748" s="6"/>
      <c r="B748" s="6"/>
      <c r="C748" s="130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6" x14ac:dyDescent="0.3">
      <c r="A749" s="6"/>
      <c r="B749" s="6"/>
      <c r="C749" s="130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6" x14ac:dyDescent="0.3">
      <c r="A750" s="6"/>
      <c r="B750" s="6"/>
      <c r="C750" s="130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6" x14ac:dyDescent="0.3">
      <c r="A751" s="6"/>
      <c r="B751" s="6"/>
      <c r="C751" s="130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6" x14ac:dyDescent="0.3">
      <c r="A752" s="6"/>
      <c r="B752" s="6"/>
      <c r="C752" s="130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6" x14ac:dyDescent="0.3">
      <c r="A753" s="6"/>
      <c r="B753" s="6"/>
      <c r="C753" s="130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6" x14ac:dyDescent="0.3">
      <c r="A754" s="6"/>
      <c r="B754" s="6"/>
      <c r="C754" s="130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6" x14ac:dyDescent="0.3">
      <c r="A755" s="6"/>
      <c r="B755" s="6"/>
      <c r="C755" s="130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6" x14ac:dyDescent="0.3">
      <c r="A756" s="6"/>
      <c r="B756" s="6"/>
      <c r="C756" s="130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6" x14ac:dyDescent="0.3">
      <c r="A757" s="6"/>
      <c r="B757" s="6"/>
      <c r="C757" s="130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6" x14ac:dyDescent="0.3">
      <c r="A758" s="6"/>
      <c r="B758" s="6"/>
      <c r="C758" s="130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6" x14ac:dyDescent="0.3">
      <c r="A759" s="6"/>
      <c r="B759" s="6"/>
      <c r="C759" s="130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6" x14ac:dyDescent="0.3">
      <c r="A760" s="6"/>
      <c r="B760" s="6"/>
      <c r="C760" s="130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6" x14ac:dyDescent="0.3">
      <c r="A761" s="6"/>
      <c r="B761" s="6"/>
      <c r="C761" s="130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6" x14ac:dyDescent="0.3">
      <c r="A762" s="6"/>
      <c r="B762" s="6"/>
      <c r="C762" s="130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6" x14ac:dyDescent="0.3">
      <c r="A763" s="6"/>
      <c r="B763" s="6"/>
      <c r="C763" s="130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6" x14ac:dyDescent="0.3">
      <c r="A764" s="6"/>
      <c r="B764" s="6"/>
      <c r="C764" s="130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6" x14ac:dyDescent="0.3">
      <c r="A765" s="6"/>
      <c r="B765" s="6"/>
      <c r="C765" s="130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6" x14ac:dyDescent="0.3">
      <c r="A766" s="6"/>
      <c r="B766" s="6"/>
      <c r="C766" s="130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6" x14ac:dyDescent="0.3">
      <c r="A767" s="6"/>
      <c r="B767" s="6"/>
      <c r="C767" s="130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6" x14ac:dyDescent="0.3">
      <c r="A768" s="6"/>
      <c r="B768" s="6"/>
      <c r="C768" s="130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6" x14ac:dyDescent="0.3">
      <c r="A769" s="6"/>
      <c r="B769" s="6"/>
      <c r="C769" s="130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6" x14ac:dyDescent="0.3">
      <c r="A770" s="6"/>
      <c r="B770" s="6"/>
      <c r="C770" s="130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6" x14ac:dyDescent="0.3">
      <c r="A771" s="6"/>
      <c r="B771" s="6"/>
      <c r="C771" s="130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6" x14ac:dyDescent="0.3">
      <c r="A772" s="6"/>
      <c r="B772" s="6"/>
      <c r="C772" s="130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6" x14ac:dyDescent="0.3">
      <c r="A773" s="6"/>
      <c r="B773" s="6"/>
      <c r="C773" s="130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6" x14ac:dyDescent="0.3">
      <c r="A774" s="6"/>
      <c r="B774" s="6"/>
      <c r="C774" s="130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6" x14ac:dyDescent="0.3">
      <c r="A775" s="6"/>
      <c r="B775" s="6"/>
      <c r="C775" s="130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6" x14ac:dyDescent="0.3">
      <c r="A776" s="6"/>
      <c r="B776" s="6"/>
      <c r="C776" s="130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6" x14ac:dyDescent="0.3">
      <c r="A777" s="6"/>
      <c r="B777" s="6"/>
      <c r="C777" s="130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6" x14ac:dyDescent="0.3">
      <c r="A778" s="6"/>
      <c r="B778" s="6"/>
      <c r="C778" s="130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6" x14ac:dyDescent="0.3">
      <c r="A779" s="6"/>
      <c r="B779" s="6"/>
      <c r="C779" s="130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6" x14ac:dyDescent="0.3">
      <c r="A780" s="6"/>
      <c r="B780" s="6"/>
      <c r="C780" s="130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6" x14ac:dyDescent="0.3">
      <c r="A781" s="6"/>
      <c r="B781" s="6"/>
      <c r="C781" s="130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6" x14ac:dyDescent="0.3">
      <c r="A782" s="6"/>
      <c r="B782" s="6"/>
      <c r="C782" s="130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6" x14ac:dyDescent="0.3">
      <c r="A783" s="6"/>
      <c r="B783" s="6"/>
      <c r="C783" s="130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6" x14ac:dyDescent="0.3">
      <c r="A784" s="6"/>
      <c r="B784" s="6"/>
      <c r="C784" s="130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6" x14ac:dyDescent="0.3">
      <c r="A785" s="6"/>
      <c r="B785" s="6"/>
      <c r="C785" s="130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6" x14ac:dyDescent="0.3">
      <c r="A786" s="6"/>
      <c r="B786" s="6"/>
      <c r="C786" s="130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6" x14ac:dyDescent="0.3">
      <c r="A787" s="6"/>
      <c r="B787" s="6"/>
      <c r="C787" s="130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6" x14ac:dyDescent="0.3">
      <c r="A788" s="6"/>
      <c r="B788" s="6"/>
      <c r="C788" s="130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6" x14ac:dyDescent="0.3">
      <c r="A789" s="6"/>
      <c r="B789" s="6"/>
      <c r="C789" s="130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6" x14ac:dyDescent="0.3">
      <c r="A790" s="6"/>
      <c r="B790" s="6"/>
      <c r="C790" s="130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6" x14ac:dyDescent="0.3">
      <c r="A791" s="6"/>
      <c r="B791" s="6"/>
      <c r="C791" s="130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6" x14ac:dyDescent="0.3">
      <c r="A792" s="6"/>
      <c r="B792" s="6"/>
      <c r="C792" s="130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6" x14ac:dyDescent="0.3">
      <c r="A793" s="6"/>
      <c r="B793" s="6"/>
      <c r="C793" s="130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6" x14ac:dyDescent="0.3">
      <c r="A794" s="6"/>
      <c r="B794" s="6"/>
      <c r="C794" s="130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6" x14ac:dyDescent="0.3">
      <c r="A795" s="6"/>
      <c r="B795" s="6"/>
      <c r="C795" s="130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6" x14ac:dyDescent="0.3">
      <c r="A796" s="6"/>
      <c r="B796" s="6"/>
      <c r="C796" s="130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6" x14ac:dyDescent="0.3">
      <c r="A797" s="6"/>
      <c r="B797" s="6"/>
      <c r="C797" s="130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6" x14ac:dyDescent="0.3">
      <c r="A798" s="6"/>
      <c r="B798" s="6"/>
      <c r="C798" s="130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6" x14ac:dyDescent="0.3">
      <c r="A799" s="6"/>
      <c r="B799" s="6"/>
      <c r="C799" s="130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6" x14ac:dyDescent="0.3">
      <c r="A800" s="6"/>
      <c r="B800" s="6"/>
      <c r="C800" s="130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6" x14ac:dyDescent="0.3">
      <c r="A801" s="6"/>
      <c r="B801" s="6"/>
      <c r="C801" s="130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6" x14ac:dyDescent="0.3">
      <c r="A802" s="6"/>
      <c r="B802" s="6"/>
      <c r="C802" s="130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6" x14ac:dyDescent="0.3">
      <c r="A803" s="6"/>
      <c r="B803" s="6"/>
      <c r="C803" s="130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6" x14ac:dyDescent="0.3">
      <c r="A804" s="6"/>
      <c r="B804" s="6"/>
      <c r="C804" s="130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6" x14ac:dyDescent="0.3">
      <c r="A805" s="6"/>
      <c r="B805" s="6"/>
      <c r="C805" s="130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6" x14ac:dyDescent="0.3">
      <c r="A806" s="6"/>
      <c r="B806" s="6"/>
      <c r="C806" s="130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6" x14ac:dyDescent="0.3">
      <c r="A807" s="6"/>
      <c r="B807" s="6"/>
      <c r="C807" s="130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6" x14ac:dyDescent="0.3">
      <c r="A808" s="6"/>
      <c r="B808" s="6"/>
      <c r="C808" s="130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6" x14ac:dyDescent="0.3">
      <c r="A809" s="6"/>
      <c r="B809" s="6"/>
      <c r="C809" s="130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6" x14ac:dyDescent="0.3">
      <c r="A810" s="6"/>
      <c r="B810" s="6"/>
      <c r="C810" s="130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6" x14ac:dyDescent="0.3">
      <c r="A811" s="6"/>
      <c r="B811" s="6"/>
      <c r="C811" s="130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6" x14ac:dyDescent="0.3">
      <c r="A812" s="6"/>
      <c r="B812" s="6"/>
      <c r="C812" s="130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6" x14ac:dyDescent="0.3">
      <c r="A813" s="6"/>
      <c r="B813" s="6"/>
      <c r="C813" s="130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6" x14ac:dyDescent="0.3">
      <c r="A814" s="6"/>
      <c r="B814" s="6"/>
      <c r="C814" s="130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6" x14ac:dyDescent="0.3">
      <c r="A815" s="6"/>
      <c r="B815" s="6"/>
      <c r="C815" s="130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6" x14ac:dyDescent="0.3">
      <c r="A816" s="6"/>
      <c r="B816" s="6"/>
      <c r="C816" s="130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6" x14ac:dyDescent="0.3">
      <c r="A817" s="6"/>
      <c r="B817" s="6"/>
      <c r="C817" s="130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6" x14ac:dyDescent="0.3">
      <c r="A818" s="6"/>
      <c r="B818" s="6"/>
      <c r="C818" s="130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6" x14ac:dyDescent="0.3">
      <c r="A819" s="6"/>
      <c r="B819" s="6"/>
      <c r="C819" s="130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6" x14ac:dyDescent="0.3">
      <c r="A820" s="6"/>
      <c r="B820" s="6"/>
      <c r="C820" s="130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6" x14ac:dyDescent="0.3">
      <c r="A821" s="6"/>
      <c r="B821" s="6"/>
      <c r="C821" s="130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6" x14ac:dyDescent="0.3">
      <c r="A822" s="6"/>
      <c r="B822" s="6"/>
      <c r="C822" s="130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6" x14ac:dyDescent="0.3">
      <c r="A823" s="6"/>
      <c r="B823" s="6"/>
      <c r="C823" s="130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6" x14ac:dyDescent="0.3">
      <c r="A824" s="6"/>
      <c r="B824" s="6"/>
      <c r="C824" s="130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6" x14ac:dyDescent="0.3">
      <c r="A825" s="6"/>
      <c r="B825" s="6"/>
      <c r="C825" s="130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6" x14ac:dyDescent="0.3">
      <c r="A826" s="6"/>
      <c r="B826" s="6"/>
      <c r="C826" s="130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6" x14ac:dyDescent="0.3">
      <c r="A827" s="6"/>
      <c r="B827" s="6"/>
      <c r="C827" s="130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6" x14ac:dyDescent="0.3">
      <c r="A828" s="6"/>
      <c r="B828" s="6"/>
      <c r="C828" s="130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6" x14ac:dyDescent="0.3">
      <c r="A829" s="6"/>
      <c r="B829" s="6"/>
      <c r="C829" s="130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6" x14ac:dyDescent="0.3">
      <c r="A830" s="6"/>
      <c r="B830" s="6"/>
      <c r="C830" s="130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6" x14ac:dyDescent="0.3">
      <c r="A831" s="6"/>
      <c r="B831" s="6"/>
      <c r="C831" s="130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6" x14ac:dyDescent="0.3">
      <c r="A832" s="6"/>
      <c r="B832" s="6"/>
      <c r="C832" s="130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6" x14ac:dyDescent="0.3">
      <c r="A833" s="6"/>
      <c r="B833" s="6"/>
      <c r="C833" s="130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6" x14ac:dyDescent="0.3">
      <c r="A834" s="6"/>
      <c r="B834" s="6"/>
      <c r="C834" s="130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6" x14ac:dyDescent="0.3">
      <c r="A835" s="6"/>
      <c r="B835" s="6"/>
      <c r="C835" s="130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6" x14ac:dyDescent="0.3">
      <c r="A836" s="6"/>
      <c r="B836" s="6"/>
      <c r="C836" s="130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6" x14ac:dyDescent="0.3">
      <c r="A837" s="6"/>
      <c r="B837" s="6"/>
      <c r="C837" s="130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6" x14ac:dyDescent="0.3">
      <c r="A838" s="6"/>
      <c r="B838" s="6"/>
      <c r="C838" s="130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6" x14ac:dyDescent="0.3">
      <c r="A839" s="6"/>
      <c r="B839" s="6"/>
      <c r="C839" s="130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6" x14ac:dyDescent="0.3">
      <c r="A840" s="6"/>
      <c r="B840" s="6"/>
      <c r="C840" s="130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6" x14ac:dyDescent="0.3">
      <c r="A841" s="6"/>
      <c r="B841" s="6"/>
      <c r="C841" s="130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6" x14ac:dyDescent="0.3">
      <c r="A842" s="6"/>
      <c r="B842" s="6"/>
      <c r="C842" s="130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6" x14ac:dyDescent="0.3">
      <c r="A843" s="6"/>
      <c r="B843" s="6"/>
      <c r="C843" s="130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6" x14ac:dyDescent="0.3">
      <c r="A844" s="6"/>
      <c r="B844" s="6"/>
      <c r="C844" s="130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6" x14ac:dyDescent="0.3">
      <c r="A845" s="6"/>
      <c r="B845" s="6"/>
      <c r="C845" s="130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6" x14ac:dyDescent="0.3">
      <c r="A846" s="6"/>
      <c r="B846" s="6"/>
      <c r="C846" s="130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6" x14ac:dyDescent="0.3">
      <c r="A847" s="6"/>
      <c r="B847" s="6"/>
      <c r="C847" s="130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6" x14ac:dyDescent="0.3">
      <c r="A848" s="6"/>
      <c r="B848" s="6"/>
      <c r="C848" s="130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6" x14ac:dyDescent="0.3">
      <c r="A849" s="6"/>
      <c r="B849" s="6"/>
      <c r="C849" s="130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6" x14ac:dyDescent="0.3">
      <c r="A850" s="6"/>
      <c r="B850" s="6"/>
      <c r="C850" s="130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6" x14ac:dyDescent="0.3">
      <c r="A851" s="6"/>
      <c r="B851" s="6"/>
      <c r="C851" s="130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6" x14ac:dyDescent="0.3">
      <c r="A852" s="6"/>
      <c r="B852" s="6"/>
      <c r="C852" s="130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6" x14ac:dyDescent="0.3">
      <c r="A853" s="6"/>
      <c r="B853" s="6"/>
      <c r="C853" s="130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6" x14ac:dyDescent="0.3">
      <c r="A854" s="6"/>
      <c r="B854" s="6"/>
      <c r="C854" s="130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6" x14ac:dyDescent="0.3">
      <c r="A855" s="6"/>
      <c r="B855" s="6"/>
      <c r="C855" s="130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6" x14ac:dyDescent="0.3">
      <c r="A856" s="6"/>
      <c r="B856" s="6"/>
      <c r="C856" s="130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6" x14ac:dyDescent="0.3">
      <c r="A857" s="6"/>
      <c r="B857" s="6"/>
      <c r="C857" s="130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6" x14ac:dyDescent="0.3">
      <c r="A858" s="6"/>
      <c r="B858" s="6"/>
      <c r="C858" s="130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6" x14ac:dyDescent="0.3">
      <c r="A859" s="6"/>
      <c r="B859" s="6"/>
      <c r="C859" s="130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6" x14ac:dyDescent="0.3">
      <c r="A860" s="6"/>
      <c r="B860" s="6"/>
      <c r="C860" s="130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6" x14ac:dyDescent="0.3">
      <c r="A861" s="6"/>
      <c r="B861" s="6"/>
      <c r="C861" s="130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6" x14ac:dyDescent="0.3">
      <c r="A862" s="6"/>
      <c r="B862" s="6"/>
      <c r="C862" s="130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6" x14ac:dyDescent="0.3">
      <c r="A863" s="6"/>
      <c r="B863" s="6"/>
      <c r="C863" s="130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6" x14ac:dyDescent="0.3">
      <c r="A864" s="6"/>
      <c r="B864" s="6"/>
      <c r="C864" s="130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6" x14ac:dyDescent="0.3">
      <c r="A865" s="6"/>
      <c r="B865" s="6"/>
      <c r="C865" s="130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6" x14ac:dyDescent="0.3">
      <c r="A866" s="6"/>
      <c r="B866" s="6"/>
      <c r="C866" s="130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6" x14ac:dyDescent="0.3">
      <c r="A867" s="6"/>
      <c r="B867" s="6"/>
      <c r="C867" s="130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6" x14ac:dyDescent="0.3">
      <c r="A868" s="6"/>
      <c r="B868" s="6"/>
      <c r="C868" s="130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6" x14ac:dyDescent="0.3">
      <c r="A869" s="6"/>
      <c r="B869" s="6"/>
      <c r="C869" s="130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6" x14ac:dyDescent="0.3">
      <c r="A870" s="6"/>
      <c r="B870" s="6"/>
      <c r="C870" s="130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6" x14ac:dyDescent="0.3">
      <c r="A871" s="6"/>
      <c r="B871" s="6"/>
      <c r="C871" s="130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6" x14ac:dyDescent="0.3">
      <c r="A872" s="6"/>
      <c r="B872" s="6"/>
      <c r="C872" s="130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6" x14ac:dyDescent="0.3">
      <c r="A873" s="6"/>
      <c r="B873" s="6"/>
      <c r="C873" s="130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6" x14ac:dyDescent="0.3">
      <c r="A874" s="6"/>
      <c r="B874" s="6"/>
      <c r="C874" s="130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6" x14ac:dyDescent="0.3">
      <c r="A875" s="6"/>
      <c r="B875" s="6"/>
      <c r="C875" s="130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6" x14ac:dyDescent="0.3">
      <c r="A876" s="6"/>
      <c r="B876" s="6"/>
      <c r="C876" s="130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6" x14ac:dyDescent="0.3">
      <c r="A877" s="6"/>
      <c r="B877" s="6"/>
      <c r="C877" s="130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6" x14ac:dyDescent="0.3">
      <c r="A878" s="6"/>
      <c r="B878" s="6"/>
      <c r="C878" s="130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6" x14ac:dyDescent="0.3">
      <c r="A879" s="6"/>
      <c r="B879" s="6"/>
      <c r="C879" s="130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6" x14ac:dyDescent="0.3">
      <c r="A880" s="6"/>
      <c r="B880" s="6"/>
      <c r="C880" s="130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6" x14ac:dyDescent="0.3">
      <c r="A881" s="6"/>
      <c r="B881" s="6"/>
      <c r="C881" s="130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6" x14ac:dyDescent="0.3">
      <c r="A882" s="6"/>
      <c r="B882" s="6"/>
      <c r="C882" s="130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6" x14ac:dyDescent="0.3">
      <c r="A883" s="6"/>
      <c r="B883" s="6"/>
      <c r="C883" s="130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6" x14ac:dyDescent="0.3">
      <c r="A884" s="6"/>
      <c r="B884" s="6"/>
      <c r="C884" s="130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6" x14ac:dyDescent="0.3">
      <c r="A885" s="6"/>
      <c r="B885" s="6"/>
      <c r="C885" s="130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6" x14ac:dyDescent="0.3">
      <c r="A886" s="6"/>
      <c r="B886" s="6"/>
      <c r="C886" s="130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6" x14ac:dyDescent="0.3">
      <c r="A887" s="6"/>
      <c r="B887" s="6"/>
      <c r="C887" s="130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6" x14ac:dyDescent="0.3">
      <c r="A888" s="6"/>
      <c r="B888" s="6"/>
      <c r="C888" s="130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6" x14ac:dyDescent="0.3">
      <c r="A889" s="6"/>
      <c r="B889" s="6"/>
      <c r="C889" s="130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6" x14ac:dyDescent="0.3">
      <c r="A890" s="6"/>
      <c r="B890" s="6"/>
      <c r="C890" s="130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6" x14ac:dyDescent="0.3">
      <c r="A891" s="6"/>
      <c r="B891" s="6"/>
      <c r="C891" s="130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6" x14ac:dyDescent="0.3">
      <c r="A892" s="6"/>
      <c r="B892" s="6"/>
      <c r="C892" s="130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6" x14ac:dyDescent="0.3">
      <c r="A893" s="6"/>
      <c r="B893" s="6"/>
      <c r="C893" s="130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6" x14ac:dyDescent="0.3">
      <c r="A894" s="6"/>
      <c r="B894" s="6"/>
      <c r="C894" s="130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6" x14ac:dyDescent="0.3">
      <c r="A895" s="6"/>
      <c r="B895" s="6"/>
      <c r="C895" s="130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6" x14ac:dyDescent="0.3">
      <c r="A896" s="6"/>
      <c r="B896" s="6"/>
      <c r="C896" s="130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6" x14ac:dyDescent="0.3">
      <c r="A897" s="6"/>
      <c r="B897" s="6"/>
      <c r="C897" s="130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6" x14ac:dyDescent="0.3">
      <c r="A898" s="6"/>
      <c r="B898" s="6"/>
      <c r="C898" s="130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6" x14ac:dyDescent="0.3">
      <c r="A899" s="6"/>
      <c r="B899" s="6"/>
      <c r="C899" s="130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6" x14ac:dyDescent="0.3">
      <c r="A900" s="6"/>
      <c r="B900" s="6"/>
      <c r="C900" s="130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6" x14ac:dyDescent="0.3">
      <c r="A901" s="6"/>
      <c r="B901" s="6"/>
      <c r="C901" s="130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6" x14ac:dyDescent="0.3">
      <c r="A902" s="6"/>
      <c r="B902" s="6"/>
      <c r="C902" s="130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6" x14ac:dyDescent="0.3">
      <c r="A903" s="6"/>
      <c r="B903" s="6"/>
      <c r="C903" s="130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6" x14ac:dyDescent="0.3">
      <c r="A904" s="6"/>
      <c r="B904" s="6"/>
      <c r="C904" s="130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6" x14ac:dyDescent="0.3">
      <c r="A905" s="6"/>
      <c r="B905" s="6"/>
      <c r="C905" s="130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6" x14ac:dyDescent="0.3">
      <c r="A906" s="6"/>
      <c r="B906" s="6"/>
      <c r="C906" s="130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6" x14ac:dyDescent="0.3">
      <c r="A907" s="6"/>
      <c r="B907" s="6"/>
      <c r="C907" s="130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6" x14ac:dyDescent="0.3">
      <c r="A908" s="6"/>
      <c r="B908" s="6"/>
      <c r="C908" s="130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6" x14ac:dyDescent="0.3">
      <c r="A909" s="6"/>
      <c r="B909" s="6"/>
      <c r="C909" s="130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6" x14ac:dyDescent="0.3">
      <c r="A910" s="6"/>
      <c r="B910" s="6"/>
      <c r="C910" s="130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6" x14ac:dyDescent="0.3">
      <c r="A911" s="6"/>
      <c r="B911" s="6"/>
      <c r="C911" s="130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6" x14ac:dyDescent="0.3">
      <c r="A912" s="6"/>
      <c r="B912" s="6"/>
      <c r="C912" s="130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6" x14ac:dyDescent="0.3">
      <c r="A913" s="6"/>
      <c r="B913" s="6"/>
      <c r="C913" s="130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6" x14ac:dyDescent="0.3">
      <c r="A914" s="6"/>
      <c r="B914" s="6"/>
      <c r="C914" s="130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6" x14ac:dyDescent="0.3">
      <c r="A915" s="6"/>
      <c r="B915" s="6"/>
      <c r="C915" s="130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6" x14ac:dyDescent="0.3">
      <c r="A916" s="6"/>
      <c r="B916" s="6"/>
      <c r="C916" s="130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6" x14ac:dyDescent="0.3">
      <c r="A917" s="6"/>
      <c r="B917" s="6"/>
      <c r="C917" s="130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6" x14ac:dyDescent="0.3">
      <c r="A918" s="6"/>
      <c r="B918" s="6"/>
      <c r="C918" s="130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6" x14ac:dyDescent="0.3">
      <c r="A919" s="6"/>
      <c r="B919" s="6"/>
      <c r="C919" s="130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6" x14ac:dyDescent="0.3">
      <c r="A920" s="6"/>
      <c r="B920" s="6"/>
      <c r="C920" s="130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6" x14ac:dyDescent="0.3">
      <c r="A921" s="6"/>
      <c r="B921" s="6"/>
      <c r="C921" s="130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6" x14ac:dyDescent="0.3">
      <c r="A922" s="6"/>
      <c r="B922" s="6"/>
      <c r="C922" s="130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6" x14ac:dyDescent="0.3">
      <c r="A923" s="6"/>
      <c r="B923" s="6"/>
      <c r="C923" s="130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6" x14ac:dyDescent="0.3">
      <c r="A924" s="6"/>
      <c r="B924" s="6"/>
      <c r="C924" s="130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6" x14ac:dyDescent="0.3">
      <c r="A925" s="6"/>
      <c r="B925" s="6"/>
      <c r="C925" s="130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6" x14ac:dyDescent="0.3">
      <c r="A926" s="6"/>
      <c r="B926" s="6"/>
      <c r="C926" s="130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6" x14ac:dyDescent="0.3">
      <c r="A927" s="6"/>
      <c r="B927" s="6"/>
      <c r="C927" s="130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6" x14ac:dyDescent="0.3">
      <c r="A928" s="6"/>
      <c r="B928" s="6"/>
      <c r="C928" s="130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6" x14ac:dyDescent="0.3">
      <c r="A929" s="6"/>
      <c r="B929" s="6"/>
      <c r="C929" s="130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6" x14ac:dyDescent="0.3">
      <c r="A930" s="6"/>
      <c r="B930" s="6"/>
      <c r="C930" s="130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6" x14ac:dyDescent="0.3">
      <c r="A931" s="6"/>
      <c r="B931" s="6"/>
      <c r="C931" s="130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6" x14ac:dyDescent="0.3">
      <c r="A932" s="6"/>
      <c r="B932" s="6"/>
      <c r="C932" s="130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6" x14ac:dyDescent="0.3">
      <c r="A933" s="6"/>
      <c r="B933" s="6"/>
      <c r="C933" s="130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6" x14ac:dyDescent="0.3">
      <c r="A934" s="6"/>
      <c r="B934" s="6"/>
      <c r="C934" s="130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6" x14ac:dyDescent="0.3">
      <c r="A935" s="6"/>
      <c r="B935" s="6"/>
      <c r="C935" s="130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6" x14ac:dyDescent="0.3">
      <c r="A936" s="6"/>
      <c r="B936" s="6"/>
      <c r="C936" s="130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6" x14ac:dyDescent="0.3">
      <c r="A937" s="6"/>
      <c r="B937" s="6"/>
      <c r="C937" s="130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6" x14ac:dyDescent="0.3">
      <c r="A938" s="6"/>
      <c r="B938" s="6"/>
      <c r="C938" s="130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6" x14ac:dyDescent="0.3">
      <c r="A939" s="6"/>
      <c r="B939" s="6"/>
      <c r="C939" s="130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6" x14ac:dyDescent="0.3">
      <c r="A940" s="6"/>
      <c r="B940" s="6"/>
      <c r="C940" s="130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6" x14ac:dyDescent="0.3">
      <c r="A941" s="6"/>
      <c r="B941" s="6"/>
      <c r="C941" s="130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6" x14ac:dyDescent="0.3">
      <c r="A942" s="6"/>
      <c r="B942" s="6"/>
      <c r="C942" s="130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6" x14ac:dyDescent="0.3">
      <c r="A943" s="6"/>
      <c r="B943" s="6"/>
      <c r="C943" s="130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6" x14ac:dyDescent="0.3">
      <c r="A944" s="6"/>
      <c r="B944" s="6"/>
      <c r="C944" s="130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6" x14ac:dyDescent="0.3">
      <c r="A945" s="6"/>
      <c r="B945" s="6"/>
      <c r="C945" s="130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6" x14ac:dyDescent="0.3">
      <c r="A946" s="6"/>
      <c r="B946" s="6"/>
      <c r="C946" s="130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6" x14ac:dyDescent="0.3">
      <c r="A947" s="6"/>
      <c r="B947" s="6"/>
      <c r="C947" s="130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6" x14ac:dyDescent="0.3">
      <c r="A948" s="6"/>
      <c r="B948" s="6"/>
      <c r="C948" s="130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6" x14ac:dyDescent="0.3">
      <c r="A949" s="6"/>
      <c r="B949" s="6"/>
      <c r="C949" s="130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6" x14ac:dyDescent="0.3">
      <c r="A950" s="6"/>
      <c r="B950" s="6"/>
      <c r="C950" s="130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6" x14ac:dyDescent="0.3">
      <c r="A951" s="6"/>
      <c r="B951" s="6"/>
      <c r="C951" s="130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6" x14ac:dyDescent="0.3">
      <c r="A952" s="6"/>
      <c r="B952" s="6"/>
      <c r="C952" s="130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6" x14ac:dyDescent="0.3">
      <c r="A953" s="6"/>
      <c r="B953" s="6"/>
      <c r="C953" s="130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6" x14ac:dyDescent="0.3">
      <c r="A954" s="6"/>
      <c r="B954" s="6"/>
      <c r="C954" s="130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6" x14ac:dyDescent="0.3">
      <c r="A955" s="6"/>
      <c r="B955" s="6"/>
      <c r="C955" s="130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.6" x14ac:dyDescent="0.3">
      <c r="A956" s="6"/>
      <c r="B956" s="6"/>
      <c r="C956" s="130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.6" x14ac:dyDescent="0.3">
      <c r="A957" s="6"/>
      <c r="B957" s="6"/>
      <c r="C957" s="130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.6" x14ac:dyDescent="0.3">
      <c r="A958" s="6"/>
      <c r="B958" s="6"/>
      <c r="C958" s="130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.6" x14ac:dyDescent="0.3">
      <c r="A959" s="6"/>
      <c r="B959" s="6"/>
      <c r="C959" s="130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.6" x14ac:dyDescent="0.3">
      <c r="A960" s="6"/>
      <c r="B960" s="6"/>
      <c r="C960" s="130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.6" x14ac:dyDescent="0.3">
      <c r="A961" s="6"/>
      <c r="B961" s="6"/>
      <c r="C961" s="130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.6" x14ac:dyDescent="0.3">
      <c r="A962" s="6"/>
      <c r="B962" s="6"/>
      <c r="C962" s="130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.6" x14ac:dyDescent="0.3">
      <c r="A963" s="6"/>
      <c r="B963" s="6"/>
      <c r="C963" s="130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.6" x14ac:dyDescent="0.3">
      <c r="A964" s="6"/>
      <c r="B964" s="6"/>
      <c r="C964" s="130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.6" x14ac:dyDescent="0.3">
      <c r="A965" s="6"/>
      <c r="B965" s="6"/>
      <c r="C965" s="130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.6" x14ac:dyDescent="0.3">
      <c r="A966" s="6"/>
      <c r="B966" s="6"/>
      <c r="C966" s="130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.6" x14ac:dyDescent="0.3">
      <c r="A967" s="6"/>
      <c r="B967" s="6"/>
      <c r="C967" s="130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.6" x14ac:dyDescent="0.3">
      <c r="A968" s="6"/>
      <c r="B968" s="6"/>
      <c r="C968" s="130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.6" x14ac:dyDescent="0.3">
      <c r="A969" s="6"/>
      <c r="B969" s="6"/>
      <c r="C969" s="130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.6" x14ac:dyDescent="0.3">
      <c r="A970" s="6"/>
      <c r="B970" s="6"/>
      <c r="C970" s="130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.6" x14ac:dyDescent="0.3">
      <c r="A971" s="6"/>
      <c r="B971" s="6"/>
      <c r="C971" s="130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.6" x14ac:dyDescent="0.3">
      <c r="A972" s="6"/>
      <c r="B972" s="6"/>
      <c r="C972" s="130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.6" x14ac:dyDescent="0.3">
      <c r="A973" s="6"/>
      <c r="B973" s="6"/>
      <c r="C973" s="130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.6" x14ac:dyDescent="0.3">
      <c r="A974" s="6"/>
      <c r="B974" s="6"/>
      <c r="C974" s="130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5.6" x14ac:dyDescent="0.3">
      <c r="A975" s="6"/>
      <c r="B975" s="6"/>
      <c r="C975" s="130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5.6" x14ac:dyDescent="0.3">
      <c r="A976" s="6"/>
      <c r="B976" s="6"/>
      <c r="C976" s="130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5.6" x14ac:dyDescent="0.3">
      <c r="A977" s="6"/>
      <c r="B977" s="6"/>
      <c r="C977" s="130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5.6" x14ac:dyDescent="0.3">
      <c r="A978" s="6"/>
      <c r="B978" s="6"/>
      <c r="C978" s="130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5.6" x14ac:dyDescent="0.3">
      <c r="A979" s="6"/>
      <c r="B979" s="6"/>
      <c r="C979" s="130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5.6" x14ac:dyDescent="0.3">
      <c r="A980" s="6"/>
      <c r="B980" s="6"/>
      <c r="C980" s="130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5.6" x14ac:dyDescent="0.3">
      <c r="A981" s="6"/>
      <c r="B981" s="6"/>
      <c r="C981" s="130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5.6" x14ac:dyDescent="0.3">
      <c r="A982" s="6"/>
      <c r="B982" s="6"/>
      <c r="C982" s="130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5.6" x14ac:dyDescent="0.3">
      <c r="A983" s="6"/>
      <c r="B983" s="6"/>
      <c r="C983" s="130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5.6" x14ac:dyDescent="0.3">
      <c r="A984" s="6"/>
      <c r="B984" s="6"/>
      <c r="C984" s="130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5.6" x14ac:dyDescent="0.3">
      <c r="A985" s="6"/>
      <c r="B985" s="6"/>
      <c r="C985" s="130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5.6" x14ac:dyDescent="0.3">
      <c r="A986" s="6"/>
      <c r="B986" s="6"/>
      <c r="C986" s="130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5.6" x14ac:dyDescent="0.3">
      <c r="A987" s="6"/>
      <c r="B987" s="6"/>
      <c r="C987" s="130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5.6" x14ac:dyDescent="0.3">
      <c r="A988" s="6"/>
      <c r="B988" s="6"/>
      <c r="C988" s="130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5.6" x14ac:dyDescent="0.3">
      <c r="A989" s="6"/>
      <c r="B989" s="6"/>
      <c r="C989" s="130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5.6" x14ac:dyDescent="0.3">
      <c r="A990" s="6"/>
      <c r="B990" s="6"/>
      <c r="C990" s="130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5.6" x14ac:dyDescent="0.3">
      <c r="A991" s="6"/>
      <c r="B991" s="6"/>
      <c r="C991" s="130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5.6" x14ac:dyDescent="0.3">
      <c r="A992" s="6"/>
      <c r="B992" s="6"/>
      <c r="C992" s="130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5.6" x14ac:dyDescent="0.3">
      <c r="A993" s="6"/>
      <c r="B993" s="6"/>
      <c r="C993" s="130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5.6" x14ac:dyDescent="0.3">
      <c r="A994" s="6"/>
      <c r="B994" s="6"/>
      <c r="C994" s="130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5.6" x14ac:dyDescent="0.3">
      <c r="A995" s="6"/>
      <c r="B995" s="6"/>
      <c r="C995" s="130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5.6" x14ac:dyDescent="0.3">
      <c r="A996" s="6"/>
      <c r="B996" s="6"/>
      <c r="C996" s="130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5.6" x14ac:dyDescent="0.3">
      <c r="A997" s="6"/>
      <c r="B997" s="6"/>
      <c r="C997" s="130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5.6" x14ac:dyDescent="0.3">
      <c r="A998" s="6"/>
      <c r="B998" s="6"/>
      <c r="C998" s="130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5.6" x14ac:dyDescent="0.3">
      <c r="A999" s="6"/>
      <c r="B999" s="6"/>
      <c r="C999" s="130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5.6" x14ac:dyDescent="0.3">
      <c r="A1000" s="6"/>
      <c r="B1000" s="6"/>
      <c r="C1000" s="130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4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1.109375" customWidth="1"/>
    <col min="2" max="3" width="26" customWidth="1"/>
    <col min="4" max="4" width="20.88671875" customWidth="1"/>
    <col min="5" max="5" width="19.44140625" customWidth="1"/>
    <col min="6" max="6" width="21.109375" customWidth="1"/>
    <col min="7" max="7" width="22" customWidth="1"/>
    <col min="8" max="9" width="17.109375" customWidth="1"/>
    <col min="10" max="10" width="19" customWidth="1"/>
    <col min="11" max="15" width="17.109375" customWidth="1"/>
    <col min="16" max="27" width="8" customWidth="1"/>
  </cols>
  <sheetData>
    <row r="1" spans="1:27" ht="14.25" customHeight="1" x14ac:dyDescent="0.3">
      <c r="A1" s="89"/>
      <c r="B1" s="90" t="s">
        <v>187</v>
      </c>
      <c r="C1" s="91" t="s">
        <v>2</v>
      </c>
      <c r="D1" s="92" t="s">
        <v>4</v>
      </c>
      <c r="E1" s="92" t="s">
        <v>5</v>
      </c>
      <c r="F1" s="92" t="s">
        <v>6</v>
      </c>
      <c r="G1" s="92" t="s">
        <v>7</v>
      </c>
      <c r="H1" s="92" t="s">
        <v>8</v>
      </c>
      <c r="I1" s="92" t="s">
        <v>9</v>
      </c>
      <c r="J1" s="92" t="s">
        <v>10</v>
      </c>
      <c r="K1" s="92" t="s">
        <v>11</v>
      </c>
      <c r="L1" s="92" t="s">
        <v>12</v>
      </c>
      <c r="M1" s="92" t="s">
        <v>13</v>
      </c>
      <c r="N1" s="94" t="s">
        <v>14</v>
      </c>
      <c r="O1" s="95" t="s">
        <v>15</v>
      </c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</row>
    <row r="2" spans="1:27" ht="14.25" customHeight="1" x14ac:dyDescent="0.3">
      <c r="A2" s="9" t="s">
        <v>192</v>
      </c>
      <c r="B2" s="99"/>
      <c r="C2" s="100"/>
      <c r="D2" s="11"/>
      <c r="E2" s="11"/>
      <c r="F2" s="9"/>
      <c r="G2" s="11"/>
      <c r="H2" s="11"/>
      <c r="I2" s="11"/>
      <c r="J2" s="9"/>
      <c r="K2" s="11"/>
      <c r="L2" s="11"/>
      <c r="M2" s="11"/>
      <c r="N2" s="11"/>
      <c r="O2" s="11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</row>
    <row r="3" spans="1:27" ht="14.25" customHeight="1" x14ac:dyDescent="0.3">
      <c r="A3" s="9" t="s">
        <v>193</v>
      </c>
      <c r="B3" s="99" t="s">
        <v>194</v>
      </c>
      <c r="C3" s="101">
        <v>60506454302.767242</v>
      </c>
      <c r="D3" s="11"/>
      <c r="E3" s="11"/>
      <c r="F3" s="9"/>
      <c r="G3" s="15"/>
      <c r="H3" s="11"/>
      <c r="I3" s="11"/>
      <c r="J3" s="9"/>
      <c r="K3" s="15"/>
      <c r="L3" s="11"/>
      <c r="M3" s="11"/>
      <c r="N3" s="11"/>
      <c r="O3" s="11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</row>
    <row r="4" spans="1:27" ht="14.25" customHeight="1" x14ac:dyDescent="0.3">
      <c r="A4" s="9" t="s">
        <v>197</v>
      </c>
      <c r="B4" s="99" t="s">
        <v>198</v>
      </c>
      <c r="C4" s="101">
        <v>9332511884</v>
      </c>
      <c r="D4" s="11"/>
      <c r="E4" s="11"/>
      <c r="F4" s="9"/>
      <c r="G4" s="15"/>
      <c r="H4" s="11"/>
      <c r="I4" s="11"/>
      <c r="J4" s="9"/>
      <c r="K4" s="15"/>
      <c r="L4" s="11"/>
      <c r="M4" s="11"/>
      <c r="N4" s="11"/>
      <c r="O4" s="11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</row>
    <row r="5" spans="1:27" ht="14.25" customHeight="1" x14ac:dyDescent="0.3">
      <c r="A5" s="22"/>
      <c r="B5" s="99"/>
      <c r="C5" s="100">
        <v>31624417220.357746</v>
      </c>
      <c r="D5" s="11"/>
      <c r="E5" s="11"/>
      <c r="F5" s="22"/>
      <c r="G5" s="11"/>
      <c r="H5" s="11"/>
      <c r="I5" s="11"/>
      <c r="J5" s="22"/>
      <c r="K5" s="11"/>
      <c r="L5" s="11"/>
      <c r="M5" s="11"/>
      <c r="N5" s="11"/>
      <c r="O5" s="11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</row>
    <row r="6" spans="1:27" ht="14.25" customHeight="1" x14ac:dyDescent="0.3">
      <c r="A6" s="22" t="s">
        <v>201</v>
      </c>
      <c r="B6" s="99" t="s">
        <v>194</v>
      </c>
      <c r="C6" s="100">
        <v>0</v>
      </c>
      <c r="D6" s="11"/>
      <c r="E6" s="11"/>
      <c r="F6" s="22"/>
      <c r="G6" s="11"/>
      <c r="H6" s="11"/>
      <c r="I6" s="11"/>
      <c r="J6" s="22"/>
      <c r="K6" s="11"/>
      <c r="L6" s="11"/>
      <c r="M6" s="11"/>
      <c r="N6" s="11"/>
      <c r="O6" s="11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</row>
    <row r="7" spans="1:27" ht="14.25" customHeight="1" x14ac:dyDescent="0.3">
      <c r="A7" s="9" t="s">
        <v>203</v>
      </c>
      <c r="B7" s="99"/>
      <c r="C7" s="101">
        <v>-81143276746.725113</v>
      </c>
      <c r="D7" s="11"/>
      <c r="E7" s="11"/>
      <c r="F7" s="9"/>
      <c r="G7" s="15"/>
      <c r="H7" s="11"/>
      <c r="I7" s="11"/>
      <c r="J7" s="9"/>
      <c r="K7" s="15"/>
      <c r="L7" s="11"/>
      <c r="M7" s="11"/>
      <c r="N7" s="11"/>
      <c r="O7" s="11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</row>
    <row r="8" spans="1:27" ht="14.25" customHeight="1" x14ac:dyDescent="0.3">
      <c r="A8" s="22" t="s">
        <v>204</v>
      </c>
      <c r="B8" s="99" t="s">
        <v>194</v>
      </c>
      <c r="C8" s="102"/>
      <c r="D8" s="32"/>
      <c r="E8" s="32"/>
      <c r="F8" s="22"/>
      <c r="G8" s="32"/>
      <c r="H8" s="32"/>
      <c r="I8" s="32"/>
      <c r="J8" s="22"/>
      <c r="K8" s="32"/>
      <c r="L8" s="32"/>
      <c r="M8" s="32"/>
      <c r="N8" s="32"/>
      <c r="O8" s="32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</row>
    <row r="9" spans="1:27" ht="14.25" customHeight="1" x14ac:dyDescent="0.3">
      <c r="A9" s="22" t="s">
        <v>206</v>
      </c>
      <c r="B9" s="99" t="s">
        <v>198</v>
      </c>
      <c r="C9" s="102"/>
      <c r="D9" s="32"/>
      <c r="E9" s="32"/>
      <c r="F9" s="22"/>
      <c r="G9" s="32"/>
      <c r="H9" s="32"/>
      <c r="I9" s="32"/>
      <c r="J9" s="22"/>
      <c r="K9" s="32"/>
      <c r="L9" s="32"/>
      <c r="M9" s="32"/>
      <c r="N9" s="32"/>
      <c r="O9" s="32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</row>
    <row r="10" spans="1:27" ht="14.25" customHeight="1" x14ac:dyDescent="0.3">
      <c r="A10" s="22" t="s">
        <v>208</v>
      </c>
      <c r="B10" s="99" t="s">
        <v>194</v>
      </c>
      <c r="C10" s="102"/>
      <c r="D10" s="32"/>
      <c r="E10" s="32"/>
      <c r="F10" s="22"/>
      <c r="G10" s="32"/>
      <c r="H10" s="32"/>
      <c r="I10" s="32"/>
      <c r="J10" s="22"/>
      <c r="K10" s="32"/>
      <c r="L10" s="32"/>
      <c r="M10" s="32"/>
      <c r="N10" s="32"/>
      <c r="O10" s="32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</row>
    <row r="11" spans="1:27" ht="14.25" customHeight="1" x14ac:dyDescent="0.3">
      <c r="A11" s="22" t="s">
        <v>209</v>
      </c>
      <c r="B11" s="99" t="s">
        <v>198</v>
      </c>
      <c r="C11" s="102"/>
      <c r="D11" s="32"/>
      <c r="E11" s="32"/>
      <c r="F11" s="22"/>
      <c r="G11" s="32"/>
      <c r="H11" s="32"/>
      <c r="I11" s="32"/>
      <c r="J11" s="22"/>
      <c r="K11" s="32"/>
      <c r="L11" s="32"/>
      <c r="M11" s="32"/>
      <c r="N11" s="32"/>
      <c r="O11" s="32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</row>
    <row r="12" spans="1:27" ht="14.25" customHeight="1" x14ac:dyDescent="0.3">
      <c r="A12" s="22" t="s">
        <v>211</v>
      </c>
      <c r="B12" s="99" t="s">
        <v>194</v>
      </c>
      <c r="C12" s="102"/>
      <c r="D12" s="32"/>
      <c r="E12" s="32"/>
      <c r="F12" s="22"/>
      <c r="G12" s="32"/>
      <c r="H12" s="32"/>
      <c r="I12" s="32"/>
      <c r="J12" s="22"/>
      <c r="K12" s="32"/>
      <c r="L12" s="32"/>
      <c r="M12" s="32"/>
      <c r="N12" s="32"/>
      <c r="O12" s="32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</row>
    <row r="13" spans="1:27" ht="14.25" customHeight="1" x14ac:dyDescent="0.3">
      <c r="A13" s="22" t="s">
        <v>212</v>
      </c>
      <c r="B13" s="99" t="s">
        <v>198</v>
      </c>
      <c r="C13" s="102"/>
      <c r="D13" s="32"/>
      <c r="E13" s="32"/>
      <c r="F13" s="22"/>
      <c r="G13" s="32"/>
      <c r="H13" s="32"/>
      <c r="I13" s="32"/>
      <c r="J13" s="22"/>
      <c r="K13" s="32"/>
      <c r="L13" s="32"/>
      <c r="M13" s="32"/>
      <c r="N13" s="32"/>
      <c r="O13" s="32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</row>
    <row r="14" spans="1:27" ht="14.25" customHeight="1" x14ac:dyDescent="0.3">
      <c r="A14" s="9" t="s">
        <v>214</v>
      </c>
      <c r="B14" s="99" t="s">
        <v>194</v>
      </c>
      <c r="C14" s="102">
        <v>-1941927140.8141403</v>
      </c>
      <c r="D14" s="32"/>
      <c r="E14" s="32"/>
      <c r="F14" s="22"/>
      <c r="G14" s="32"/>
      <c r="H14" s="32"/>
      <c r="I14" s="32"/>
      <c r="J14" s="22"/>
      <c r="K14" s="32"/>
      <c r="L14" s="32"/>
      <c r="M14" s="32"/>
      <c r="N14" s="32"/>
      <c r="O14" s="32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</row>
    <row r="15" spans="1:27" ht="14.25" customHeight="1" x14ac:dyDescent="0.3">
      <c r="A15" s="22"/>
      <c r="B15" s="99"/>
      <c r="C15" s="105"/>
      <c r="D15" s="36"/>
      <c r="E15" s="36"/>
      <c r="F15" s="22"/>
      <c r="G15" s="36"/>
      <c r="H15" s="36"/>
      <c r="I15" s="36"/>
      <c r="J15" s="22"/>
      <c r="K15" s="36"/>
      <c r="L15" s="36"/>
      <c r="M15" s="36"/>
      <c r="N15" s="36"/>
      <c r="O15" s="36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</row>
    <row r="16" spans="1:27" ht="14.25" customHeight="1" x14ac:dyDescent="0.3">
      <c r="A16" s="108" t="s">
        <v>217</v>
      </c>
      <c r="B16" s="109"/>
      <c r="C16" s="110">
        <v>18378179519.585732</v>
      </c>
      <c r="D16" s="111"/>
      <c r="E16" s="111"/>
      <c r="F16" s="112"/>
      <c r="G16" s="111"/>
      <c r="H16" s="111"/>
      <c r="I16" s="111"/>
      <c r="J16" s="112"/>
      <c r="K16" s="111"/>
      <c r="L16" s="111"/>
      <c r="M16" s="111"/>
      <c r="N16" s="111"/>
      <c r="O16" s="111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</row>
    <row r="17" spans="1:27" ht="14.25" customHeight="1" x14ac:dyDescent="0.3">
      <c r="A17" s="9"/>
      <c r="B17" s="99"/>
      <c r="C17" s="101"/>
      <c r="D17" s="11"/>
      <c r="E17" s="11"/>
      <c r="F17" s="9"/>
      <c r="G17" s="15"/>
      <c r="H17" s="11"/>
      <c r="I17" s="11"/>
      <c r="J17" s="9"/>
      <c r="K17" s="15"/>
      <c r="L17" s="11"/>
      <c r="M17" s="11"/>
      <c r="N17" s="11"/>
      <c r="O17" s="11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</row>
    <row r="18" spans="1:27" ht="14.25" customHeight="1" x14ac:dyDescent="0.3">
      <c r="A18" s="9" t="s">
        <v>218</v>
      </c>
      <c r="B18" s="99"/>
      <c r="C18" s="100"/>
      <c r="D18" s="11"/>
      <c r="E18" s="11"/>
      <c r="F18" s="22"/>
      <c r="G18" s="11"/>
      <c r="H18" s="11"/>
      <c r="I18" s="11"/>
      <c r="J18" s="22"/>
      <c r="K18" s="11"/>
      <c r="L18" s="11"/>
      <c r="M18" s="11"/>
      <c r="N18" s="11"/>
      <c r="O18" s="11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</row>
    <row r="19" spans="1:27" ht="14.25" customHeight="1" x14ac:dyDescent="0.3">
      <c r="A19" s="22" t="s">
        <v>219</v>
      </c>
      <c r="B19" s="99" t="s">
        <v>198</v>
      </c>
      <c r="C19" s="100">
        <v>-648102773679.27124</v>
      </c>
      <c r="D19" s="11"/>
      <c r="E19" s="11"/>
      <c r="F19" s="22"/>
      <c r="G19" s="11"/>
      <c r="H19" s="11"/>
      <c r="I19" s="11"/>
      <c r="J19" s="115">
        <f>C19</f>
        <v>-648102773679.27124</v>
      </c>
      <c r="K19" s="11"/>
      <c r="L19" s="11"/>
      <c r="M19" s="11"/>
      <c r="N19" s="11"/>
      <c r="O19" s="11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</row>
    <row r="20" spans="1:27" ht="14.25" customHeight="1" x14ac:dyDescent="0.3">
      <c r="A20" s="22" t="s">
        <v>221</v>
      </c>
      <c r="B20" s="99" t="s">
        <v>194</v>
      </c>
      <c r="C20" s="100">
        <v>0</v>
      </c>
      <c r="D20" s="11"/>
      <c r="E20" s="11"/>
      <c r="F20" s="22"/>
      <c r="G20" s="11"/>
      <c r="H20" s="11"/>
      <c r="I20" s="11"/>
      <c r="J20" s="22"/>
      <c r="K20" s="11"/>
      <c r="L20" s="11"/>
      <c r="M20" s="11"/>
      <c r="N20" s="11"/>
      <c r="O20" s="11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</row>
    <row r="21" spans="1:27" ht="14.25" customHeight="1" x14ac:dyDescent="0.3">
      <c r="A21" s="22" t="s">
        <v>222</v>
      </c>
      <c r="B21" s="99" t="s">
        <v>198</v>
      </c>
      <c r="C21" s="100">
        <v>0</v>
      </c>
      <c r="D21" s="11"/>
      <c r="E21" s="11"/>
      <c r="F21" s="22"/>
      <c r="G21" s="11"/>
      <c r="H21" s="11"/>
      <c r="I21" s="11"/>
      <c r="J21" s="22"/>
      <c r="K21" s="11"/>
      <c r="L21" s="11"/>
      <c r="M21" s="11"/>
      <c r="N21" s="11"/>
      <c r="O21" s="11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</row>
    <row r="22" spans="1:27" ht="14.25" customHeight="1" x14ac:dyDescent="0.3">
      <c r="A22" s="22" t="s">
        <v>223</v>
      </c>
      <c r="B22" s="99" t="s">
        <v>194</v>
      </c>
      <c r="C22" s="100">
        <v>0</v>
      </c>
      <c r="D22" s="11"/>
      <c r="E22" s="11"/>
      <c r="F22" s="22"/>
      <c r="G22" s="11"/>
      <c r="H22" s="11"/>
      <c r="I22" s="11"/>
      <c r="J22" s="22"/>
      <c r="K22" s="11"/>
      <c r="L22" s="11"/>
      <c r="M22" s="11"/>
      <c r="N22" s="11"/>
      <c r="O22" s="11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</row>
    <row r="23" spans="1:27" ht="14.25" customHeight="1" x14ac:dyDescent="0.3">
      <c r="A23" s="22" t="s">
        <v>224</v>
      </c>
      <c r="B23" s="99" t="s">
        <v>198</v>
      </c>
      <c r="C23" s="120">
        <v>0</v>
      </c>
      <c r="D23" s="32"/>
      <c r="E23" s="32"/>
      <c r="F23" s="22"/>
      <c r="G23" s="43"/>
      <c r="H23" s="32"/>
      <c r="I23" s="32"/>
      <c r="J23" s="22"/>
      <c r="K23" s="43"/>
      <c r="L23" s="32"/>
      <c r="M23" s="32"/>
      <c r="N23" s="32"/>
      <c r="O23" s="32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spans="1:27" ht="14.25" customHeight="1" x14ac:dyDescent="0.3">
      <c r="A24" s="22" t="s">
        <v>225</v>
      </c>
      <c r="B24" s="99" t="s">
        <v>194</v>
      </c>
      <c r="C24" s="105">
        <v>0</v>
      </c>
      <c r="D24" s="36"/>
      <c r="E24" s="36"/>
      <c r="F24" s="22"/>
      <c r="G24" s="36"/>
      <c r="H24" s="36"/>
      <c r="I24" s="36"/>
      <c r="J24" s="22"/>
      <c r="K24" s="36"/>
      <c r="L24" s="36"/>
      <c r="M24" s="36"/>
      <c r="N24" s="36"/>
      <c r="O24" s="36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spans="1:27" ht="14.25" customHeight="1" x14ac:dyDescent="0.3">
      <c r="A25" s="22" t="s">
        <v>226</v>
      </c>
      <c r="B25" s="99" t="s">
        <v>194</v>
      </c>
      <c r="C25" s="105">
        <v>0</v>
      </c>
      <c r="D25" s="36"/>
      <c r="E25" s="36"/>
      <c r="F25" s="22"/>
      <c r="G25" s="36"/>
      <c r="H25" s="36"/>
      <c r="I25" s="36"/>
      <c r="J25" s="22"/>
      <c r="K25" s="36"/>
      <c r="L25" s="36"/>
      <c r="M25" s="36"/>
      <c r="N25" s="36"/>
      <c r="O25" s="36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spans="1:27" ht="14.25" customHeight="1" x14ac:dyDescent="0.3">
      <c r="A26" s="9"/>
      <c r="B26" s="99"/>
      <c r="C26" s="101"/>
      <c r="D26" s="11"/>
      <c r="E26" s="11"/>
      <c r="F26" s="9"/>
      <c r="G26" s="15"/>
      <c r="H26" s="11"/>
      <c r="I26" s="11"/>
      <c r="J26" s="9"/>
      <c r="K26" s="15"/>
      <c r="L26" s="11"/>
      <c r="M26" s="11"/>
      <c r="N26" s="11"/>
      <c r="O26" s="11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 spans="1:27" ht="14.25" customHeight="1" x14ac:dyDescent="0.3">
      <c r="A27" s="108" t="s">
        <v>227</v>
      </c>
      <c r="B27" s="109"/>
      <c r="C27" s="110">
        <v>-648102773679.27124</v>
      </c>
      <c r="D27" s="111"/>
      <c r="E27" s="111"/>
      <c r="F27" s="112"/>
      <c r="G27" s="111"/>
      <c r="H27" s="111"/>
      <c r="I27" s="111"/>
      <c r="J27" s="112"/>
      <c r="K27" s="111"/>
      <c r="L27" s="111"/>
      <c r="M27" s="111"/>
      <c r="N27" s="111"/>
      <c r="O27" s="111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 spans="1:27" ht="14.25" customHeight="1" x14ac:dyDescent="0.3">
      <c r="A28" s="22"/>
      <c r="B28" s="99"/>
      <c r="C28" s="100"/>
      <c r="D28" s="11"/>
      <c r="E28" s="11"/>
      <c r="F28" s="22"/>
      <c r="G28" s="11"/>
      <c r="H28" s="11"/>
      <c r="I28" s="11"/>
      <c r="J28" s="22"/>
      <c r="K28" s="11"/>
      <c r="L28" s="11"/>
      <c r="M28" s="11"/>
      <c r="N28" s="11"/>
      <c r="O28" s="11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</row>
    <row r="29" spans="1:27" ht="14.25" customHeight="1" x14ac:dyDescent="0.3">
      <c r="A29" s="9" t="s">
        <v>228</v>
      </c>
      <c r="B29" s="99"/>
      <c r="C29" s="101"/>
      <c r="D29" s="11"/>
      <c r="E29" s="11"/>
      <c r="F29" s="9"/>
      <c r="G29" s="15"/>
      <c r="H29" s="11"/>
      <c r="I29" s="11"/>
      <c r="J29" s="9"/>
      <c r="K29" s="15"/>
      <c r="L29" s="11"/>
      <c r="M29" s="11"/>
      <c r="N29" s="11"/>
      <c r="O29" s="11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spans="1:27" ht="14.25" customHeight="1" x14ac:dyDescent="0.3">
      <c r="A30" s="22" t="s">
        <v>229</v>
      </c>
      <c r="B30" s="99" t="s">
        <v>194</v>
      </c>
      <c r="C30" s="100">
        <v>196787971593.98135</v>
      </c>
      <c r="D30" s="11"/>
      <c r="E30" s="11"/>
      <c r="F30" s="22"/>
      <c r="G30" s="11"/>
      <c r="H30" s="11"/>
      <c r="I30" s="11"/>
      <c r="J30" s="22"/>
      <c r="K30" s="11"/>
      <c r="L30" s="11"/>
      <c r="M30" s="11"/>
      <c r="N30" s="11"/>
      <c r="O30" s="11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spans="1:27" ht="14.25" customHeight="1" x14ac:dyDescent="0.3">
      <c r="A31" s="22" t="s">
        <v>230</v>
      </c>
      <c r="B31" s="99" t="str">
        <f t="shared" ref="B31:B34" si="0">MID(A31,FIND(" ",A31) + 1,FIND(CHAR(160),SUBSTITUTE(A31," ",CHAR(160),2)) - 1 - (FIND(" ",A31)))</f>
        <v>chi</v>
      </c>
      <c r="C31" s="100"/>
      <c r="D31" s="11"/>
      <c r="E31" s="11"/>
      <c r="F31" s="22"/>
      <c r="G31" s="11"/>
      <c r="H31" s="11"/>
      <c r="I31" s="11"/>
      <c r="J31" s="22"/>
      <c r="K31" s="11"/>
      <c r="L31" s="11"/>
      <c r="M31" s="11"/>
      <c r="N31" s="11"/>
      <c r="O31" s="11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spans="1:27" ht="14.25" customHeight="1" x14ac:dyDescent="0.3">
      <c r="A32" s="22" t="s">
        <v>234</v>
      </c>
      <c r="B32" s="99" t="str">
        <f t="shared" si="0"/>
        <v>thu</v>
      </c>
      <c r="C32" s="102"/>
      <c r="D32" s="32"/>
      <c r="E32" s="32"/>
      <c r="F32" s="22"/>
      <c r="G32" s="32"/>
      <c r="H32" s="32"/>
      <c r="I32" s="32"/>
      <c r="J32" s="22"/>
      <c r="K32" s="32"/>
      <c r="L32" s="32"/>
      <c r="M32" s="32"/>
      <c r="N32" s="32"/>
      <c r="O32" s="32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spans="1:27" ht="14.25" customHeight="1" x14ac:dyDescent="0.3">
      <c r="A33" s="22" t="s">
        <v>235</v>
      </c>
      <c r="B33" s="99" t="str">
        <f t="shared" si="0"/>
        <v>chi</v>
      </c>
      <c r="C33" s="105"/>
      <c r="D33" s="36"/>
      <c r="E33" s="36"/>
      <c r="F33" s="22"/>
      <c r="G33" s="36"/>
      <c r="H33" s="36"/>
      <c r="I33" s="36"/>
      <c r="J33" s="22"/>
      <c r="K33" s="36"/>
      <c r="L33" s="36"/>
      <c r="M33" s="36"/>
      <c r="N33" s="36"/>
      <c r="O33" s="36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spans="1:27" ht="14.25" customHeight="1" x14ac:dyDescent="0.3">
      <c r="A34" s="22" t="s">
        <v>236</v>
      </c>
      <c r="B34" s="99" t="str">
        <f t="shared" si="0"/>
        <v>chi</v>
      </c>
      <c r="C34" s="105"/>
      <c r="D34" s="36"/>
      <c r="E34" s="36"/>
      <c r="F34" s="22"/>
      <c r="G34" s="36"/>
      <c r="H34" s="36"/>
      <c r="I34" s="36"/>
      <c r="J34" s="22"/>
      <c r="K34" s="36"/>
      <c r="L34" s="36"/>
      <c r="M34" s="36"/>
      <c r="N34" s="36"/>
      <c r="O34" s="36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spans="1:27" ht="14.25" customHeight="1" x14ac:dyDescent="0.3">
      <c r="A35" s="9" t="s">
        <v>237</v>
      </c>
      <c r="B35" s="99" t="s">
        <v>198</v>
      </c>
      <c r="C35" s="101">
        <v>0</v>
      </c>
      <c r="D35" s="11"/>
      <c r="E35" s="11"/>
      <c r="F35" s="9"/>
      <c r="G35" s="15"/>
      <c r="H35" s="11"/>
      <c r="I35" s="11"/>
      <c r="J35" s="9"/>
      <c r="K35" s="15"/>
      <c r="L35" s="11"/>
      <c r="M35" s="11"/>
      <c r="N35" s="11"/>
      <c r="O35" s="11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spans="1:27" ht="14.25" customHeight="1" x14ac:dyDescent="0.3">
      <c r="A36" s="9" t="s">
        <v>238</v>
      </c>
      <c r="B36" s="99" t="s">
        <v>194</v>
      </c>
      <c r="C36" s="100">
        <v>54267435204.616577</v>
      </c>
      <c r="D36" s="11"/>
      <c r="E36" s="11"/>
      <c r="F36" s="9"/>
      <c r="G36" s="11"/>
      <c r="H36" s="11"/>
      <c r="I36" s="11"/>
      <c r="J36" s="9"/>
      <c r="K36" s="11"/>
      <c r="L36" s="11"/>
      <c r="M36" s="11"/>
      <c r="N36" s="11"/>
      <c r="O36" s="11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spans="1:27" ht="14.25" customHeight="1" x14ac:dyDescent="0.3">
      <c r="A37" s="22" t="s">
        <v>239</v>
      </c>
      <c r="B37" s="99" t="s">
        <v>194</v>
      </c>
      <c r="C37" s="100">
        <v>432615702747.28986</v>
      </c>
      <c r="D37" s="11"/>
      <c r="E37" s="11"/>
      <c r="F37" s="22"/>
      <c r="G37" s="11"/>
      <c r="H37" s="11"/>
      <c r="I37" s="11"/>
      <c r="J37" s="22"/>
      <c r="K37" s="11"/>
      <c r="L37" s="11"/>
      <c r="M37" s="11"/>
      <c r="N37" s="11"/>
      <c r="O37" s="11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spans="1:27" ht="14.25" customHeight="1" x14ac:dyDescent="0.3">
      <c r="A38" s="22" t="s">
        <v>242</v>
      </c>
      <c r="B38" s="99"/>
      <c r="C38" s="100">
        <v>0</v>
      </c>
      <c r="D38" s="11"/>
      <c r="E38" s="11"/>
      <c r="F38" s="22"/>
      <c r="G38" s="11"/>
      <c r="H38" s="11"/>
      <c r="I38" s="11"/>
      <c r="J38" s="22"/>
      <c r="K38" s="11"/>
      <c r="L38" s="11"/>
      <c r="M38" s="11"/>
      <c r="N38" s="11"/>
      <c r="O38" s="11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spans="1:27" ht="14.25" customHeight="1" x14ac:dyDescent="0.3">
      <c r="A39" s="22"/>
      <c r="B39" s="99"/>
      <c r="C39" s="100"/>
      <c r="D39" s="11"/>
      <c r="E39" s="11"/>
      <c r="F39" s="22"/>
      <c r="G39" s="11"/>
      <c r="H39" s="11"/>
      <c r="I39" s="11"/>
      <c r="J39" s="22"/>
      <c r="K39" s="11"/>
      <c r="L39" s="11"/>
      <c r="M39" s="11"/>
      <c r="N39" s="11"/>
      <c r="O39" s="11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spans="1:27" ht="14.25" customHeight="1" x14ac:dyDescent="0.3">
      <c r="A40" s="108" t="s">
        <v>244</v>
      </c>
      <c r="B40" s="109"/>
      <c r="C40" s="110">
        <v>683671109545.88782</v>
      </c>
      <c r="D40" s="111"/>
      <c r="E40" s="111"/>
      <c r="F40" s="112"/>
      <c r="G40" s="111"/>
      <c r="H40" s="111"/>
      <c r="I40" s="111"/>
      <c r="J40" s="112"/>
      <c r="K40" s="111"/>
      <c r="L40" s="111"/>
      <c r="M40" s="111"/>
      <c r="N40" s="111"/>
      <c r="O40" s="111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</row>
    <row r="41" spans="1:27" ht="14.25" customHeight="1" x14ac:dyDescent="0.3">
      <c r="A41" s="22"/>
      <c r="B41" s="99"/>
      <c r="C41" s="102"/>
      <c r="D41" s="32"/>
      <c r="E41" s="32"/>
      <c r="F41" s="22"/>
      <c r="G41" s="32"/>
      <c r="H41" s="32"/>
      <c r="I41" s="32"/>
      <c r="J41" s="22"/>
      <c r="K41" s="32"/>
      <c r="L41" s="32"/>
      <c r="M41" s="32"/>
      <c r="N41" s="32"/>
      <c r="O41" s="32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</row>
    <row r="42" spans="1:27" ht="14.25" customHeight="1" x14ac:dyDescent="0.3">
      <c r="A42" s="9" t="s">
        <v>245</v>
      </c>
      <c r="B42" s="135"/>
      <c r="C42" s="102">
        <v>53946515386.202309</v>
      </c>
      <c r="D42" s="36"/>
      <c r="E42" s="36"/>
      <c r="F42" s="22"/>
      <c r="G42" s="36"/>
      <c r="H42" s="36"/>
      <c r="I42" s="36"/>
      <c r="J42" s="22"/>
      <c r="K42" s="36"/>
      <c r="L42" s="36"/>
      <c r="M42" s="36"/>
      <c r="N42" s="36"/>
      <c r="O42" s="36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</row>
    <row r="43" spans="1:27" ht="14.25" customHeight="1" x14ac:dyDescent="0.3">
      <c r="A43" s="22"/>
      <c r="B43" s="99"/>
      <c r="C43" s="105"/>
      <c r="D43" s="36"/>
      <c r="E43" s="36"/>
      <c r="F43" s="22"/>
      <c r="G43" s="36"/>
      <c r="H43" s="36"/>
      <c r="I43" s="36"/>
      <c r="J43" s="22"/>
      <c r="K43" s="36"/>
      <c r="L43" s="36"/>
      <c r="M43" s="36"/>
      <c r="N43" s="36"/>
      <c r="O43" s="36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</row>
    <row r="44" spans="1:27" ht="14.25" customHeight="1" x14ac:dyDescent="0.3">
      <c r="A44" s="136" t="s">
        <v>246</v>
      </c>
      <c r="B44" s="135"/>
      <c r="C44" s="101">
        <v>16428115234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</row>
    <row r="45" spans="1:27" ht="14.25" customHeight="1" x14ac:dyDescent="0.3">
      <c r="A45" s="137"/>
      <c r="B45" s="99"/>
      <c r="C45" s="10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</row>
    <row r="46" spans="1:27" ht="14.25" customHeight="1" x14ac:dyDescent="0.3">
      <c r="A46" s="138" t="s">
        <v>247</v>
      </c>
      <c r="B46" s="99"/>
      <c r="C46" s="102">
        <v>0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</row>
    <row r="47" spans="1:27" ht="14.25" customHeight="1" x14ac:dyDescent="0.3">
      <c r="A47" s="139"/>
      <c r="B47" s="99"/>
      <c r="C47" s="105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11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</row>
    <row r="48" spans="1:27" ht="14.25" customHeight="1" x14ac:dyDescent="0.3">
      <c r="A48" s="140" t="s">
        <v>248</v>
      </c>
      <c r="B48" s="141"/>
      <c r="C48" s="142">
        <v>70374630620.202301</v>
      </c>
      <c r="D48" s="143">
        <f>124768729785-126363027199+143758783+19536153470</f>
        <v>18085614839</v>
      </c>
      <c r="E48" s="143">
        <f>13570038843+224094523</f>
        <v>13794133366</v>
      </c>
      <c r="F48" s="143">
        <f>47258172408+363483549</f>
        <v>47621655957</v>
      </c>
      <c r="G48" s="143">
        <f>47449522635+1468624847</f>
        <v>48918147482</v>
      </c>
      <c r="H48" s="143">
        <f>47891664866+598273842</f>
        <v>48489938708</v>
      </c>
      <c r="I48" s="143">
        <f>27798845273+755835197</f>
        <v>28554680470</v>
      </c>
      <c r="J48" s="143">
        <f>9975264487+635453798</f>
        <v>10610718285</v>
      </c>
      <c r="K48" s="143">
        <f>808169874+873219914</f>
        <v>1681389788</v>
      </c>
      <c r="L48" s="143">
        <f>9672737502+2161522834</f>
        <v>11834260336</v>
      </c>
      <c r="M48" s="143">
        <f>5184211+583251496</f>
        <v>588435707</v>
      </c>
      <c r="N48" s="143">
        <f>6697901044+270448476</f>
        <v>6968349520</v>
      </c>
      <c r="O48" s="143">
        <f>2771596620+1424729072</f>
        <v>4196325692</v>
      </c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</row>
    <row r="49" spans="1:27" ht="14.25" customHeight="1" x14ac:dyDescent="0.3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144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</row>
    <row r="50" spans="1:27" ht="14.25" customHeight="1" x14ac:dyDescent="0.3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</row>
    <row r="51" spans="1:27" ht="14.25" customHeight="1" x14ac:dyDescent="0.3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</row>
    <row r="52" spans="1:27" ht="14.25" customHeight="1" x14ac:dyDescent="0.3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</row>
    <row r="53" spans="1:27" ht="14.25" customHeight="1" x14ac:dyDescent="0.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</row>
    <row r="54" spans="1:27" ht="14.25" customHeight="1" x14ac:dyDescent="0.3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</row>
    <row r="55" spans="1:27" ht="14.25" customHeight="1" x14ac:dyDescent="0.3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</row>
    <row r="56" spans="1:27" ht="14.25" customHeight="1" x14ac:dyDescent="0.3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</row>
    <row r="57" spans="1:27" ht="14.25" customHeight="1" x14ac:dyDescent="0.3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</row>
    <row r="58" spans="1:27" ht="14.25" customHeight="1" x14ac:dyDescent="0.3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</row>
    <row r="59" spans="1:27" ht="14.25" customHeight="1" x14ac:dyDescent="0.3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</row>
    <row r="60" spans="1:27" ht="14.25" customHeight="1" x14ac:dyDescent="0.3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</row>
    <row r="61" spans="1:27" ht="14.25" customHeight="1" x14ac:dyDescent="0.3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</row>
    <row r="62" spans="1:27" ht="14.25" customHeight="1" x14ac:dyDescent="0.3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</row>
    <row r="63" spans="1:27" ht="14.25" customHeight="1" x14ac:dyDescent="0.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</row>
    <row r="64" spans="1:27" ht="14.25" customHeight="1" x14ac:dyDescent="0.3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</row>
    <row r="65" spans="1:27" ht="14.25" customHeight="1" x14ac:dyDescent="0.3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</row>
    <row r="66" spans="1:27" ht="14.25" customHeight="1" x14ac:dyDescent="0.3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</row>
    <row r="67" spans="1:27" ht="14.25" customHeight="1" x14ac:dyDescent="0.3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</row>
    <row r="68" spans="1:27" ht="14.25" customHeight="1" x14ac:dyDescent="0.3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</row>
    <row r="69" spans="1:27" ht="14.25" customHeight="1" x14ac:dyDescent="0.3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</row>
    <row r="70" spans="1:27" ht="14.25" customHeight="1" x14ac:dyDescent="0.3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</row>
    <row r="71" spans="1:27" ht="14.25" customHeight="1" x14ac:dyDescent="0.3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</row>
    <row r="72" spans="1:27" ht="14.25" customHeight="1" x14ac:dyDescent="0.3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</row>
    <row r="73" spans="1:27" ht="14.25" customHeight="1" x14ac:dyDescent="0.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</row>
    <row r="74" spans="1:27" ht="14.25" customHeight="1" x14ac:dyDescent="0.3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</row>
    <row r="75" spans="1:27" ht="14.25" customHeight="1" x14ac:dyDescent="0.3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</row>
    <row r="76" spans="1:27" ht="14.25" customHeight="1" x14ac:dyDescent="0.3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</row>
    <row r="77" spans="1:27" ht="14.25" customHeight="1" x14ac:dyDescent="0.3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</row>
    <row r="78" spans="1:27" ht="14.25" customHeight="1" x14ac:dyDescent="0.3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</row>
    <row r="79" spans="1:27" ht="14.25" customHeight="1" x14ac:dyDescent="0.3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</row>
    <row r="80" spans="1:27" ht="14.25" customHeight="1" x14ac:dyDescent="0.3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</row>
    <row r="81" spans="1:27" ht="14.25" customHeight="1" x14ac:dyDescent="0.3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</row>
    <row r="82" spans="1:27" ht="14.25" customHeight="1" x14ac:dyDescent="0.3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</row>
    <row r="83" spans="1:27" ht="14.25" customHeight="1" x14ac:dyDescent="0.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</row>
    <row r="84" spans="1:27" ht="14.25" customHeight="1" x14ac:dyDescent="0.3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</row>
    <row r="85" spans="1:27" ht="14.25" customHeight="1" x14ac:dyDescent="0.3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</row>
    <row r="86" spans="1:27" ht="14.25" customHeight="1" x14ac:dyDescent="0.3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</row>
    <row r="87" spans="1:27" ht="14.25" customHeight="1" x14ac:dyDescent="0.3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</row>
    <row r="88" spans="1:27" ht="14.25" customHeight="1" x14ac:dyDescent="0.3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</row>
    <row r="89" spans="1:27" ht="14.25" customHeight="1" x14ac:dyDescent="0.3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</row>
    <row r="90" spans="1:27" ht="14.25" customHeight="1" x14ac:dyDescent="0.3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</row>
    <row r="91" spans="1:27" ht="14.25" customHeight="1" x14ac:dyDescent="0.3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</row>
    <row r="92" spans="1:27" ht="14.25" customHeight="1" x14ac:dyDescent="0.3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</row>
    <row r="93" spans="1:27" ht="14.25" customHeight="1" x14ac:dyDescent="0.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</row>
    <row r="94" spans="1:27" ht="14.25" customHeight="1" x14ac:dyDescent="0.3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</row>
    <row r="95" spans="1:27" ht="14.25" customHeight="1" x14ac:dyDescent="0.3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</row>
    <row r="96" spans="1:27" ht="14.25" customHeight="1" x14ac:dyDescent="0.3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</row>
    <row r="97" spans="1:27" ht="14.25" customHeight="1" x14ac:dyDescent="0.3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</row>
    <row r="98" spans="1:27" ht="14.25" customHeight="1" x14ac:dyDescent="0.3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</row>
    <row r="99" spans="1:27" ht="14.25" customHeight="1" x14ac:dyDescent="0.3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</row>
    <row r="100" spans="1:27" ht="14.25" customHeight="1" x14ac:dyDescent="0.3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</row>
    <row r="101" spans="1:27" ht="14.25" customHeight="1" x14ac:dyDescent="0.3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</row>
    <row r="102" spans="1:27" ht="14.25" customHeight="1" x14ac:dyDescent="0.3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</row>
    <row r="103" spans="1:27" ht="14.25" customHeight="1" x14ac:dyDescent="0.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</row>
    <row r="104" spans="1:27" ht="14.25" customHeight="1" x14ac:dyDescent="0.3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</row>
    <row r="105" spans="1:27" ht="14.25" customHeight="1" x14ac:dyDescent="0.3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</row>
    <row r="106" spans="1:27" ht="14.25" customHeight="1" x14ac:dyDescent="0.3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</row>
    <row r="107" spans="1:27" ht="14.25" customHeight="1" x14ac:dyDescent="0.3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</row>
    <row r="108" spans="1:27" ht="14.25" customHeight="1" x14ac:dyDescent="0.3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</row>
    <row r="109" spans="1:27" ht="14.25" customHeight="1" x14ac:dyDescent="0.3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</row>
    <row r="110" spans="1:27" ht="14.25" customHeight="1" x14ac:dyDescent="0.3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</row>
    <row r="111" spans="1:27" ht="14.25" customHeight="1" x14ac:dyDescent="0.3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</row>
    <row r="112" spans="1:27" ht="14.25" customHeight="1" x14ac:dyDescent="0.3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</row>
    <row r="113" spans="1:27" ht="14.25" customHeight="1" x14ac:dyDescent="0.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</row>
    <row r="114" spans="1:27" ht="14.25" customHeight="1" x14ac:dyDescent="0.3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</row>
    <row r="115" spans="1:27" ht="14.25" customHeight="1" x14ac:dyDescent="0.3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</row>
    <row r="116" spans="1:27" ht="14.25" customHeight="1" x14ac:dyDescent="0.3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</row>
    <row r="117" spans="1:27" ht="14.25" customHeight="1" x14ac:dyDescent="0.3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</row>
    <row r="118" spans="1:27" ht="14.25" customHeight="1" x14ac:dyDescent="0.3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</row>
    <row r="119" spans="1:27" ht="14.25" customHeight="1" x14ac:dyDescent="0.3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</row>
    <row r="120" spans="1:27" ht="14.25" customHeight="1" x14ac:dyDescent="0.3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</row>
    <row r="121" spans="1:27" ht="14.25" customHeight="1" x14ac:dyDescent="0.3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</row>
    <row r="122" spans="1:27" ht="14.25" customHeight="1" x14ac:dyDescent="0.3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</row>
    <row r="123" spans="1:27" ht="14.25" customHeight="1" x14ac:dyDescent="0.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</row>
    <row r="124" spans="1:27" ht="14.25" customHeight="1" x14ac:dyDescent="0.3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</row>
    <row r="125" spans="1:27" ht="14.25" customHeight="1" x14ac:dyDescent="0.3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</row>
    <row r="126" spans="1:27" ht="14.25" customHeight="1" x14ac:dyDescent="0.3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</row>
    <row r="127" spans="1:27" ht="14.25" customHeight="1" x14ac:dyDescent="0.3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</row>
    <row r="128" spans="1:27" ht="14.25" customHeight="1" x14ac:dyDescent="0.3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</row>
    <row r="129" spans="1:27" ht="14.25" customHeight="1" x14ac:dyDescent="0.3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</row>
    <row r="130" spans="1:27" ht="14.25" customHeight="1" x14ac:dyDescent="0.3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</row>
    <row r="131" spans="1:27" ht="14.25" customHeight="1" x14ac:dyDescent="0.3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</row>
    <row r="132" spans="1:27" ht="14.25" customHeight="1" x14ac:dyDescent="0.3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</row>
    <row r="133" spans="1:27" ht="14.25" customHeight="1" x14ac:dyDescent="0.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</row>
    <row r="134" spans="1:27" ht="14.25" customHeight="1" x14ac:dyDescent="0.3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</row>
    <row r="135" spans="1:27" ht="14.25" customHeight="1" x14ac:dyDescent="0.3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</row>
    <row r="136" spans="1:27" ht="14.25" customHeight="1" x14ac:dyDescent="0.3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</row>
    <row r="137" spans="1:27" ht="14.25" customHeight="1" x14ac:dyDescent="0.3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</row>
    <row r="138" spans="1:27" ht="14.25" customHeight="1" x14ac:dyDescent="0.3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</row>
    <row r="139" spans="1:27" ht="14.25" customHeight="1" x14ac:dyDescent="0.3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</row>
    <row r="140" spans="1:27" ht="14.25" customHeight="1" x14ac:dyDescent="0.3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</row>
    <row r="141" spans="1:27" ht="14.25" customHeight="1" x14ac:dyDescent="0.3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</row>
    <row r="142" spans="1:27" ht="14.25" customHeight="1" x14ac:dyDescent="0.3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</row>
    <row r="143" spans="1:27" ht="14.25" customHeight="1" x14ac:dyDescent="0.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</row>
    <row r="144" spans="1:27" ht="14.25" customHeight="1" x14ac:dyDescent="0.3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</row>
    <row r="145" spans="1:27" ht="14.25" customHeight="1" x14ac:dyDescent="0.3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</row>
    <row r="146" spans="1:27" ht="14.25" customHeight="1" x14ac:dyDescent="0.3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</row>
    <row r="147" spans="1:27" ht="14.25" customHeight="1" x14ac:dyDescent="0.3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</row>
    <row r="148" spans="1:27" ht="14.25" customHeight="1" x14ac:dyDescent="0.3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</row>
    <row r="149" spans="1:27" ht="14.25" customHeight="1" x14ac:dyDescent="0.3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</row>
    <row r="150" spans="1:27" ht="14.25" customHeight="1" x14ac:dyDescent="0.3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</row>
    <row r="151" spans="1:27" ht="14.25" customHeight="1" x14ac:dyDescent="0.3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</row>
    <row r="152" spans="1:27" ht="14.25" customHeight="1" x14ac:dyDescent="0.3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</row>
    <row r="153" spans="1:27" ht="14.25" customHeight="1" x14ac:dyDescent="0.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</row>
    <row r="154" spans="1:27" ht="14.25" customHeight="1" x14ac:dyDescent="0.3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</row>
    <row r="155" spans="1:27" ht="14.25" customHeight="1" x14ac:dyDescent="0.3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</row>
    <row r="156" spans="1:27" ht="14.25" customHeight="1" x14ac:dyDescent="0.3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</row>
    <row r="157" spans="1:27" ht="14.25" customHeight="1" x14ac:dyDescent="0.3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</row>
    <row r="158" spans="1:27" ht="14.25" customHeight="1" x14ac:dyDescent="0.3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</row>
    <row r="159" spans="1:27" ht="14.25" customHeight="1" x14ac:dyDescent="0.3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</row>
    <row r="160" spans="1:27" ht="14.25" customHeight="1" x14ac:dyDescent="0.3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</row>
    <row r="161" spans="1:27" ht="14.25" customHeight="1" x14ac:dyDescent="0.3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</row>
    <row r="162" spans="1:27" ht="14.25" customHeight="1" x14ac:dyDescent="0.3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</row>
    <row r="163" spans="1:27" ht="14.25" customHeight="1" x14ac:dyDescent="0.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</row>
    <row r="164" spans="1:27" ht="14.25" customHeight="1" x14ac:dyDescent="0.3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</row>
    <row r="165" spans="1:27" ht="14.25" customHeight="1" x14ac:dyDescent="0.3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</row>
    <row r="166" spans="1:27" ht="14.25" customHeight="1" x14ac:dyDescent="0.3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</row>
    <row r="167" spans="1:27" ht="14.25" customHeight="1" x14ac:dyDescent="0.3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</row>
    <row r="168" spans="1:27" ht="14.25" customHeight="1" x14ac:dyDescent="0.3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</row>
    <row r="169" spans="1:27" ht="14.25" customHeight="1" x14ac:dyDescent="0.3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</row>
    <row r="170" spans="1:27" ht="14.25" customHeight="1" x14ac:dyDescent="0.3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</row>
    <row r="171" spans="1:27" ht="14.25" customHeight="1" x14ac:dyDescent="0.3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</row>
    <row r="172" spans="1:27" ht="14.25" customHeight="1" x14ac:dyDescent="0.3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</row>
    <row r="173" spans="1:27" ht="14.25" customHeight="1" x14ac:dyDescent="0.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</row>
    <row r="174" spans="1:27" ht="14.25" customHeight="1" x14ac:dyDescent="0.3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</row>
    <row r="175" spans="1:27" ht="14.25" customHeight="1" x14ac:dyDescent="0.3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</row>
    <row r="176" spans="1:27" ht="14.25" customHeight="1" x14ac:dyDescent="0.3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</row>
    <row r="177" spans="1:27" ht="14.25" customHeight="1" x14ac:dyDescent="0.3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</row>
    <row r="178" spans="1:27" ht="14.25" customHeight="1" x14ac:dyDescent="0.3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</row>
    <row r="179" spans="1:27" ht="14.25" customHeight="1" x14ac:dyDescent="0.3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</row>
    <row r="180" spans="1:27" ht="14.25" customHeight="1" x14ac:dyDescent="0.3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</row>
    <row r="181" spans="1:27" ht="14.25" customHeight="1" x14ac:dyDescent="0.3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</row>
    <row r="182" spans="1:27" ht="14.25" customHeight="1" x14ac:dyDescent="0.3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</row>
    <row r="183" spans="1:27" ht="14.25" customHeight="1" x14ac:dyDescent="0.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</row>
    <row r="184" spans="1:27" ht="14.25" customHeight="1" x14ac:dyDescent="0.3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</row>
    <row r="185" spans="1:27" ht="14.25" customHeight="1" x14ac:dyDescent="0.3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</row>
    <row r="186" spans="1:27" ht="14.25" customHeight="1" x14ac:dyDescent="0.3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</row>
    <row r="187" spans="1:27" ht="14.25" customHeight="1" x14ac:dyDescent="0.3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</row>
    <row r="188" spans="1:27" ht="14.25" customHeight="1" x14ac:dyDescent="0.3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</row>
    <row r="189" spans="1:27" ht="14.25" customHeight="1" x14ac:dyDescent="0.3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</row>
    <row r="190" spans="1:27" ht="14.25" customHeight="1" x14ac:dyDescent="0.3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</row>
    <row r="191" spans="1:27" ht="14.25" customHeight="1" x14ac:dyDescent="0.3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</row>
    <row r="192" spans="1:27" ht="14.25" customHeight="1" x14ac:dyDescent="0.3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</row>
    <row r="193" spans="1:27" ht="14.25" customHeight="1" x14ac:dyDescent="0.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</row>
    <row r="194" spans="1:27" ht="14.25" customHeight="1" x14ac:dyDescent="0.3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</row>
    <row r="195" spans="1:27" ht="14.25" customHeight="1" x14ac:dyDescent="0.3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</row>
    <row r="196" spans="1:27" ht="14.25" customHeight="1" x14ac:dyDescent="0.3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</row>
    <row r="197" spans="1:27" ht="14.25" customHeight="1" x14ac:dyDescent="0.3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</row>
    <row r="198" spans="1:27" ht="14.25" customHeight="1" x14ac:dyDescent="0.3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</row>
    <row r="199" spans="1:27" ht="14.25" customHeight="1" x14ac:dyDescent="0.3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</row>
    <row r="200" spans="1:27" ht="14.25" customHeight="1" x14ac:dyDescent="0.3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</row>
    <row r="201" spans="1:27" ht="14.25" customHeight="1" x14ac:dyDescent="0.3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</row>
    <row r="202" spans="1:27" ht="14.25" customHeight="1" x14ac:dyDescent="0.3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</row>
    <row r="203" spans="1:27" ht="14.25" customHeight="1" x14ac:dyDescent="0.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</row>
    <row r="204" spans="1:27" ht="14.25" customHeight="1" x14ac:dyDescent="0.3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</row>
    <row r="205" spans="1:27" ht="14.25" customHeight="1" x14ac:dyDescent="0.3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</row>
    <row r="206" spans="1:27" ht="14.25" customHeight="1" x14ac:dyDescent="0.3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</row>
    <row r="207" spans="1:27" ht="14.25" customHeight="1" x14ac:dyDescent="0.3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</row>
    <row r="208" spans="1:27" ht="14.25" customHeight="1" x14ac:dyDescent="0.3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</row>
    <row r="209" spans="1:27" ht="14.25" customHeight="1" x14ac:dyDescent="0.3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</row>
    <row r="210" spans="1:27" ht="14.25" customHeight="1" x14ac:dyDescent="0.3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</row>
    <row r="211" spans="1:27" ht="14.25" customHeight="1" x14ac:dyDescent="0.3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</row>
    <row r="212" spans="1:27" ht="14.25" customHeight="1" x14ac:dyDescent="0.3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</row>
    <row r="213" spans="1:27" ht="14.25" customHeight="1" x14ac:dyDescent="0.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</row>
    <row r="214" spans="1:27" ht="14.25" customHeight="1" x14ac:dyDescent="0.3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</row>
    <row r="215" spans="1:27" ht="14.25" customHeight="1" x14ac:dyDescent="0.3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</row>
    <row r="216" spans="1:27" ht="14.25" customHeight="1" x14ac:dyDescent="0.3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</row>
    <row r="217" spans="1:27" ht="14.25" customHeight="1" x14ac:dyDescent="0.3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</row>
    <row r="218" spans="1:27" ht="14.25" customHeight="1" x14ac:dyDescent="0.3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</row>
    <row r="219" spans="1:27" ht="14.25" customHeight="1" x14ac:dyDescent="0.3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</row>
    <row r="220" spans="1:27" ht="14.25" customHeight="1" x14ac:dyDescent="0.3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</row>
    <row r="221" spans="1:27" ht="14.25" customHeight="1" x14ac:dyDescent="0.3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</row>
    <row r="222" spans="1:27" ht="14.25" customHeight="1" x14ac:dyDescent="0.3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</row>
    <row r="223" spans="1:27" ht="14.25" customHeight="1" x14ac:dyDescent="0.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</row>
    <row r="224" spans="1:27" ht="14.25" customHeight="1" x14ac:dyDescent="0.3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</row>
    <row r="225" spans="1:27" ht="14.25" customHeight="1" x14ac:dyDescent="0.3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</row>
    <row r="226" spans="1:27" ht="14.25" customHeight="1" x14ac:dyDescent="0.3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</row>
    <row r="227" spans="1:27" ht="14.25" customHeight="1" x14ac:dyDescent="0.3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</row>
    <row r="228" spans="1:27" ht="14.25" customHeight="1" x14ac:dyDescent="0.3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</row>
    <row r="229" spans="1:27" ht="14.25" customHeight="1" x14ac:dyDescent="0.3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</row>
    <row r="230" spans="1:27" ht="14.25" customHeight="1" x14ac:dyDescent="0.3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</row>
    <row r="231" spans="1:27" ht="14.25" customHeight="1" x14ac:dyDescent="0.3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</row>
    <row r="232" spans="1:27" ht="14.25" customHeight="1" x14ac:dyDescent="0.3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</row>
    <row r="233" spans="1:27" ht="14.25" customHeight="1" x14ac:dyDescent="0.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</row>
    <row r="234" spans="1:27" ht="14.25" customHeight="1" x14ac:dyDescent="0.3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</row>
    <row r="235" spans="1:27" ht="14.25" customHeight="1" x14ac:dyDescent="0.3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</row>
    <row r="236" spans="1:27" ht="14.25" customHeight="1" x14ac:dyDescent="0.3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</row>
    <row r="237" spans="1:27" ht="14.25" customHeight="1" x14ac:dyDescent="0.3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</row>
    <row r="238" spans="1:27" ht="14.25" customHeight="1" x14ac:dyDescent="0.3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</row>
    <row r="239" spans="1:27" ht="14.25" customHeight="1" x14ac:dyDescent="0.3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</row>
    <row r="240" spans="1:27" ht="14.25" customHeight="1" x14ac:dyDescent="0.3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</row>
    <row r="241" spans="1:27" ht="14.25" customHeight="1" x14ac:dyDescent="0.3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</row>
    <row r="242" spans="1:27" ht="14.25" customHeight="1" x14ac:dyDescent="0.3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</row>
    <row r="243" spans="1:27" ht="14.25" customHeight="1" x14ac:dyDescent="0.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</row>
    <row r="244" spans="1:27" ht="14.25" customHeight="1" x14ac:dyDescent="0.3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</row>
    <row r="245" spans="1:27" ht="14.25" customHeight="1" x14ac:dyDescent="0.3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</row>
    <row r="246" spans="1:27" ht="14.25" customHeight="1" x14ac:dyDescent="0.3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</row>
    <row r="247" spans="1:27" ht="14.25" customHeight="1" x14ac:dyDescent="0.3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</row>
    <row r="248" spans="1:27" ht="14.25" customHeight="1" x14ac:dyDescent="0.3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</row>
    <row r="249" spans="1:27" ht="14.25" customHeight="1" x14ac:dyDescent="0.3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</row>
    <row r="250" spans="1:27" ht="14.25" customHeight="1" x14ac:dyDescent="0.3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</row>
    <row r="251" spans="1:27" ht="14.25" customHeight="1" x14ac:dyDescent="0.3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</row>
    <row r="252" spans="1:27" ht="14.25" customHeight="1" x14ac:dyDescent="0.3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</row>
    <row r="253" spans="1:27" ht="14.25" customHeight="1" x14ac:dyDescent="0.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</row>
    <row r="254" spans="1:27" ht="14.25" customHeight="1" x14ac:dyDescent="0.3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</row>
    <row r="255" spans="1:27" ht="14.25" customHeight="1" x14ac:dyDescent="0.3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</row>
    <row r="256" spans="1:27" ht="14.25" customHeight="1" x14ac:dyDescent="0.3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</row>
    <row r="257" spans="1:27" ht="14.25" customHeight="1" x14ac:dyDescent="0.3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</row>
    <row r="258" spans="1:27" ht="14.25" customHeight="1" x14ac:dyDescent="0.3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</row>
    <row r="259" spans="1:27" ht="14.25" customHeight="1" x14ac:dyDescent="0.3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</row>
    <row r="260" spans="1:27" ht="14.25" customHeight="1" x14ac:dyDescent="0.3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</row>
    <row r="261" spans="1:27" ht="14.25" customHeight="1" x14ac:dyDescent="0.3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</row>
    <row r="262" spans="1:27" ht="14.25" customHeight="1" x14ac:dyDescent="0.3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</row>
    <row r="263" spans="1:27" ht="14.25" customHeight="1" x14ac:dyDescent="0.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</row>
    <row r="264" spans="1:27" ht="14.25" customHeight="1" x14ac:dyDescent="0.3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</row>
    <row r="265" spans="1:27" ht="14.25" customHeight="1" x14ac:dyDescent="0.3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</row>
    <row r="266" spans="1:27" ht="14.25" customHeight="1" x14ac:dyDescent="0.3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</row>
    <row r="267" spans="1:27" ht="14.25" customHeight="1" x14ac:dyDescent="0.3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</row>
    <row r="268" spans="1:27" ht="14.25" customHeight="1" x14ac:dyDescent="0.3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</row>
    <row r="269" spans="1:27" ht="14.25" customHeight="1" x14ac:dyDescent="0.3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</row>
    <row r="270" spans="1:27" ht="14.25" customHeight="1" x14ac:dyDescent="0.3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</row>
    <row r="271" spans="1:27" ht="14.25" customHeight="1" x14ac:dyDescent="0.3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</row>
    <row r="272" spans="1:27" ht="14.25" customHeight="1" x14ac:dyDescent="0.3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</row>
    <row r="273" spans="1:27" ht="14.25" customHeight="1" x14ac:dyDescent="0.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</row>
    <row r="274" spans="1:27" ht="14.25" customHeight="1" x14ac:dyDescent="0.3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</row>
    <row r="275" spans="1:27" ht="14.25" customHeight="1" x14ac:dyDescent="0.3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</row>
    <row r="276" spans="1:27" ht="14.25" customHeight="1" x14ac:dyDescent="0.3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</row>
    <row r="277" spans="1:27" ht="14.25" customHeight="1" x14ac:dyDescent="0.3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</row>
    <row r="278" spans="1:27" ht="14.25" customHeight="1" x14ac:dyDescent="0.3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</row>
    <row r="279" spans="1:27" ht="14.25" customHeight="1" x14ac:dyDescent="0.3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</row>
    <row r="280" spans="1:27" ht="14.25" customHeight="1" x14ac:dyDescent="0.3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</row>
    <row r="281" spans="1:27" ht="14.25" customHeight="1" x14ac:dyDescent="0.3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</row>
    <row r="282" spans="1:27" ht="14.25" customHeight="1" x14ac:dyDescent="0.3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</row>
    <row r="283" spans="1:27" ht="14.25" customHeight="1" x14ac:dyDescent="0.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</row>
    <row r="284" spans="1:27" ht="14.25" customHeight="1" x14ac:dyDescent="0.3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</row>
    <row r="285" spans="1:27" ht="14.25" customHeight="1" x14ac:dyDescent="0.3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</row>
    <row r="286" spans="1:27" ht="14.25" customHeight="1" x14ac:dyDescent="0.3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</row>
    <row r="287" spans="1:27" ht="14.25" customHeight="1" x14ac:dyDescent="0.3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</row>
    <row r="288" spans="1:27" ht="14.25" customHeight="1" x14ac:dyDescent="0.3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</row>
    <row r="289" spans="1:27" ht="14.25" customHeight="1" x14ac:dyDescent="0.3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</row>
    <row r="290" spans="1:27" ht="14.25" customHeight="1" x14ac:dyDescent="0.3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</row>
    <row r="291" spans="1:27" ht="14.25" customHeight="1" x14ac:dyDescent="0.3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</row>
    <row r="292" spans="1:27" ht="14.25" customHeight="1" x14ac:dyDescent="0.3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</row>
    <row r="293" spans="1:27" ht="14.25" customHeight="1" x14ac:dyDescent="0.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</row>
    <row r="294" spans="1:27" ht="14.25" customHeight="1" x14ac:dyDescent="0.3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</row>
    <row r="295" spans="1:27" ht="14.25" customHeight="1" x14ac:dyDescent="0.3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</row>
    <row r="296" spans="1:27" ht="14.25" customHeight="1" x14ac:dyDescent="0.3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</row>
    <row r="297" spans="1:27" ht="14.25" customHeight="1" x14ac:dyDescent="0.3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</row>
    <row r="298" spans="1:27" ht="14.25" customHeight="1" x14ac:dyDescent="0.3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</row>
    <row r="299" spans="1:27" ht="14.25" customHeight="1" x14ac:dyDescent="0.3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</row>
    <row r="300" spans="1:27" ht="14.25" customHeight="1" x14ac:dyDescent="0.3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</row>
    <row r="301" spans="1:27" ht="14.25" customHeight="1" x14ac:dyDescent="0.3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</row>
    <row r="302" spans="1:27" ht="14.25" customHeight="1" x14ac:dyDescent="0.3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</row>
    <row r="303" spans="1:27" ht="14.25" customHeight="1" x14ac:dyDescent="0.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</row>
    <row r="304" spans="1:27" ht="14.25" customHeight="1" x14ac:dyDescent="0.3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</row>
    <row r="305" spans="1:27" ht="14.25" customHeight="1" x14ac:dyDescent="0.3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</row>
    <row r="306" spans="1:27" ht="14.25" customHeight="1" x14ac:dyDescent="0.3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</row>
    <row r="307" spans="1:27" ht="14.25" customHeight="1" x14ac:dyDescent="0.3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</row>
    <row r="308" spans="1:27" ht="14.25" customHeight="1" x14ac:dyDescent="0.3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</row>
    <row r="309" spans="1:27" ht="14.25" customHeight="1" x14ac:dyDescent="0.3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</row>
    <row r="310" spans="1:27" ht="14.25" customHeight="1" x14ac:dyDescent="0.3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</row>
    <row r="311" spans="1:27" ht="14.25" customHeight="1" x14ac:dyDescent="0.3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</row>
    <row r="312" spans="1:27" ht="14.25" customHeight="1" x14ac:dyDescent="0.3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</row>
    <row r="313" spans="1:27" ht="14.25" customHeight="1" x14ac:dyDescent="0.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</row>
    <row r="314" spans="1:27" ht="14.25" customHeight="1" x14ac:dyDescent="0.3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</row>
    <row r="315" spans="1:27" ht="14.25" customHeight="1" x14ac:dyDescent="0.3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</row>
    <row r="316" spans="1:27" ht="14.25" customHeight="1" x14ac:dyDescent="0.3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</row>
    <row r="317" spans="1:27" ht="14.25" customHeight="1" x14ac:dyDescent="0.3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</row>
    <row r="318" spans="1:27" ht="14.25" customHeight="1" x14ac:dyDescent="0.3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</row>
    <row r="319" spans="1:27" ht="14.25" customHeight="1" x14ac:dyDescent="0.3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</row>
    <row r="320" spans="1:27" ht="14.25" customHeight="1" x14ac:dyDescent="0.3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</row>
    <row r="321" spans="1:27" ht="14.25" customHeight="1" x14ac:dyDescent="0.3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</row>
    <row r="322" spans="1:27" ht="14.25" customHeight="1" x14ac:dyDescent="0.3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</row>
    <row r="323" spans="1:27" ht="14.25" customHeight="1" x14ac:dyDescent="0.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</row>
    <row r="324" spans="1:27" ht="14.25" customHeight="1" x14ac:dyDescent="0.3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</row>
    <row r="325" spans="1:27" ht="14.25" customHeight="1" x14ac:dyDescent="0.3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</row>
    <row r="326" spans="1:27" ht="14.25" customHeight="1" x14ac:dyDescent="0.3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</row>
    <row r="327" spans="1:27" ht="14.25" customHeight="1" x14ac:dyDescent="0.3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</row>
    <row r="328" spans="1:27" ht="14.25" customHeight="1" x14ac:dyDescent="0.3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</row>
    <row r="329" spans="1:27" ht="14.25" customHeight="1" x14ac:dyDescent="0.3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</row>
    <row r="330" spans="1:27" ht="14.25" customHeight="1" x14ac:dyDescent="0.3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</row>
    <row r="331" spans="1:27" ht="14.25" customHeight="1" x14ac:dyDescent="0.3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</row>
    <row r="332" spans="1:27" ht="14.25" customHeight="1" x14ac:dyDescent="0.3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</row>
    <row r="333" spans="1:27" ht="14.25" customHeight="1" x14ac:dyDescent="0.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</row>
    <row r="334" spans="1:27" ht="14.25" customHeight="1" x14ac:dyDescent="0.3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</row>
    <row r="335" spans="1:27" ht="14.25" customHeight="1" x14ac:dyDescent="0.3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</row>
    <row r="336" spans="1:27" ht="14.25" customHeight="1" x14ac:dyDescent="0.3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</row>
    <row r="337" spans="1:27" ht="14.25" customHeight="1" x14ac:dyDescent="0.3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</row>
    <row r="338" spans="1:27" ht="14.25" customHeight="1" x14ac:dyDescent="0.3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</row>
    <row r="339" spans="1:27" ht="14.25" customHeight="1" x14ac:dyDescent="0.3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</row>
    <row r="340" spans="1:27" ht="14.25" customHeight="1" x14ac:dyDescent="0.3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</row>
    <row r="341" spans="1:27" ht="14.25" customHeight="1" x14ac:dyDescent="0.3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</row>
    <row r="342" spans="1:27" ht="14.25" customHeight="1" x14ac:dyDescent="0.3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</row>
    <row r="343" spans="1:27" ht="14.25" customHeight="1" x14ac:dyDescent="0.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</row>
    <row r="344" spans="1:27" ht="14.25" customHeight="1" x14ac:dyDescent="0.3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</row>
    <row r="345" spans="1:27" ht="14.25" customHeight="1" x14ac:dyDescent="0.3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</row>
    <row r="346" spans="1:27" ht="14.25" customHeight="1" x14ac:dyDescent="0.3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</row>
    <row r="347" spans="1:27" ht="14.25" customHeight="1" x14ac:dyDescent="0.3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</row>
    <row r="348" spans="1:27" ht="14.25" customHeight="1" x14ac:dyDescent="0.3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</row>
    <row r="349" spans="1:27" ht="14.25" customHeight="1" x14ac:dyDescent="0.3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</row>
    <row r="350" spans="1:27" ht="14.25" customHeight="1" x14ac:dyDescent="0.3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</row>
    <row r="351" spans="1:27" ht="14.25" customHeight="1" x14ac:dyDescent="0.3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</row>
    <row r="352" spans="1:27" ht="14.25" customHeight="1" x14ac:dyDescent="0.3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</row>
    <row r="353" spans="1:27" ht="14.25" customHeight="1" x14ac:dyDescent="0.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</row>
    <row r="354" spans="1:27" ht="14.25" customHeight="1" x14ac:dyDescent="0.3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</row>
    <row r="355" spans="1:27" ht="14.25" customHeight="1" x14ac:dyDescent="0.3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</row>
    <row r="356" spans="1:27" ht="14.25" customHeight="1" x14ac:dyDescent="0.3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</row>
    <row r="357" spans="1:27" ht="14.25" customHeight="1" x14ac:dyDescent="0.3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</row>
    <row r="358" spans="1:27" ht="14.25" customHeight="1" x14ac:dyDescent="0.3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</row>
    <row r="359" spans="1:27" ht="14.25" customHeight="1" x14ac:dyDescent="0.3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</row>
    <row r="360" spans="1:27" ht="14.25" customHeight="1" x14ac:dyDescent="0.3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</row>
    <row r="361" spans="1:27" ht="14.25" customHeight="1" x14ac:dyDescent="0.3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</row>
    <row r="362" spans="1:27" ht="14.25" customHeight="1" x14ac:dyDescent="0.3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</row>
    <row r="363" spans="1:27" ht="14.25" customHeight="1" x14ac:dyDescent="0.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</row>
    <row r="364" spans="1:27" ht="14.25" customHeight="1" x14ac:dyDescent="0.3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</row>
    <row r="365" spans="1:27" ht="14.25" customHeight="1" x14ac:dyDescent="0.3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</row>
    <row r="366" spans="1:27" ht="14.25" customHeight="1" x14ac:dyDescent="0.3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</row>
    <row r="367" spans="1:27" ht="14.25" customHeight="1" x14ac:dyDescent="0.3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</row>
    <row r="368" spans="1:27" ht="14.25" customHeight="1" x14ac:dyDescent="0.3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</row>
    <row r="369" spans="1:27" ht="14.25" customHeight="1" x14ac:dyDescent="0.3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</row>
    <row r="370" spans="1:27" ht="14.25" customHeight="1" x14ac:dyDescent="0.3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</row>
    <row r="371" spans="1:27" ht="14.25" customHeight="1" x14ac:dyDescent="0.3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</row>
    <row r="372" spans="1:27" ht="14.25" customHeight="1" x14ac:dyDescent="0.3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</row>
    <row r="373" spans="1:27" ht="14.25" customHeight="1" x14ac:dyDescent="0.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</row>
    <row r="374" spans="1:27" ht="14.25" customHeight="1" x14ac:dyDescent="0.3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</row>
    <row r="375" spans="1:27" ht="14.25" customHeight="1" x14ac:dyDescent="0.3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</row>
    <row r="376" spans="1:27" ht="14.25" customHeight="1" x14ac:dyDescent="0.3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</row>
    <row r="377" spans="1:27" ht="14.25" customHeight="1" x14ac:dyDescent="0.3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</row>
    <row r="378" spans="1:27" ht="14.25" customHeight="1" x14ac:dyDescent="0.3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</row>
    <row r="379" spans="1:27" ht="14.25" customHeight="1" x14ac:dyDescent="0.3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</row>
    <row r="380" spans="1:27" ht="14.25" customHeight="1" x14ac:dyDescent="0.3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</row>
    <row r="381" spans="1:27" ht="14.25" customHeight="1" x14ac:dyDescent="0.3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</row>
    <row r="382" spans="1:27" ht="14.25" customHeight="1" x14ac:dyDescent="0.3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</row>
    <row r="383" spans="1:27" ht="14.25" customHeight="1" x14ac:dyDescent="0.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</row>
    <row r="384" spans="1:27" ht="14.25" customHeight="1" x14ac:dyDescent="0.3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</row>
    <row r="385" spans="1:27" ht="14.25" customHeight="1" x14ac:dyDescent="0.3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</row>
    <row r="386" spans="1:27" ht="14.25" customHeight="1" x14ac:dyDescent="0.3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</row>
    <row r="387" spans="1:27" ht="14.25" customHeight="1" x14ac:dyDescent="0.3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</row>
    <row r="388" spans="1:27" ht="14.25" customHeight="1" x14ac:dyDescent="0.3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</row>
    <row r="389" spans="1:27" ht="14.25" customHeight="1" x14ac:dyDescent="0.3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</row>
    <row r="390" spans="1:27" ht="14.25" customHeight="1" x14ac:dyDescent="0.3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</row>
    <row r="391" spans="1:27" ht="14.25" customHeight="1" x14ac:dyDescent="0.3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</row>
    <row r="392" spans="1:27" ht="14.25" customHeight="1" x14ac:dyDescent="0.3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</row>
    <row r="393" spans="1:27" ht="14.25" customHeight="1" x14ac:dyDescent="0.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</row>
    <row r="394" spans="1:27" ht="14.25" customHeight="1" x14ac:dyDescent="0.3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</row>
    <row r="395" spans="1:27" ht="14.25" customHeight="1" x14ac:dyDescent="0.3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</row>
    <row r="396" spans="1:27" ht="14.25" customHeight="1" x14ac:dyDescent="0.3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</row>
    <row r="397" spans="1:27" ht="14.25" customHeight="1" x14ac:dyDescent="0.3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</row>
    <row r="398" spans="1:27" ht="14.25" customHeight="1" x14ac:dyDescent="0.3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</row>
    <row r="399" spans="1:27" ht="14.25" customHeight="1" x14ac:dyDescent="0.3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</row>
    <row r="400" spans="1:27" ht="14.25" customHeight="1" x14ac:dyDescent="0.3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</row>
    <row r="401" spans="1:27" ht="14.25" customHeight="1" x14ac:dyDescent="0.3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</row>
    <row r="402" spans="1:27" ht="14.25" customHeight="1" x14ac:dyDescent="0.3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</row>
    <row r="403" spans="1:27" ht="14.25" customHeight="1" x14ac:dyDescent="0.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</row>
    <row r="404" spans="1:27" ht="14.25" customHeight="1" x14ac:dyDescent="0.3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</row>
    <row r="405" spans="1:27" ht="14.25" customHeight="1" x14ac:dyDescent="0.3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</row>
    <row r="406" spans="1:27" ht="14.25" customHeight="1" x14ac:dyDescent="0.3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</row>
    <row r="407" spans="1:27" ht="14.25" customHeight="1" x14ac:dyDescent="0.3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</row>
    <row r="408" spans="1:27" ht="14.25" customHeight="1" x14ac:dyDescent="0.3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</row>
    <row r="409" spans="1:27" ht="14.25" customHeight="1" x14ac:dyDescent="0.3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</row>
    <row r="410" spans="1:27" ht="14.25" customHeight="1" x14ac:dyDescent="0.3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</row>
    <row r="411" spans="1:27" ht="14.25" customHeight="1" x14ac:dyDescent="0.3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</row>
    <row r="412" spans="1:27" ht="14.25" customHeight="1" x14ac:dyDescent="0.3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</row>
    <row r="413" spans="1:27" ht="14.25" customHeight="1" x14ac:dyDescent="0.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</row>
    <row r="414" spans="1:27" ht="14.25" customHeight="1" x14ac:dyDescent="0.3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</row>
    <row r="415" spans="1:27" ht="14.25" customHeight="1" x14ac:dyDescent="0.3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</row>
    <row r="416" spans="1:27" ht="14.25" customHeight="1" x14ac:dyDescent="0.3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</row>
    <row r="417" spans="1:27" ht="14.25" customHeight="1" x14ac:dyDescent="0.3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</row>
    <row r="418" spans="1:27" ht="14.25" customHeight="1" x14ac:dyDescent="0.3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</row>
    <row r="419" spans="1:27" ht="14.25" customHeight="1" x14ac:dyDescent="0.3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</row>
    <row r="420" spans="1:27" ht="14.25" customHeight="1" x14ac:dyDescent="0.3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</row>
    <row r="421" spans="1:27" ht="14.25" customHeight="1" x14ac:dyDescent="0.3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</row>
    <row r="422" spans="1:27" ht="14.25" customHeight="1" x14ac:dyDescent="0.3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</row>
    <row r="423" spans="1:27" ht="14.25" customHeight="1" x14ac:dyDescent="0.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</row>
    <row r="424" spans="1:27" ht="14.25" customHeight="1" x14ac:dyDescent="0.3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</row>
    <row r="425" spans="1:27" ht="14.25" customHeight="1" x14ac:dyDescent="0.3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</row>
    <row r="426" spans="1:27" ht="14.25" customHeight="1" x14ac:dyDescent="0.3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</row>
    <row r="427" spans="1:27" ht="14.25" customHeight="1" x14ac:dyDescent="0.3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</row>
    <row r="428" spans="1:27" ht="14.25" customHeight="1" x14ac:dyDescent="0.3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</row>
    <row r="429" spans="1:27" ht="14.25" customHeight="1" x14ac:dyDescent="0.3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</row>
    <row r="430" spans="1:27" ht="14.25" customHeight="1" x14ac:dyDescent="0.3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</row>
    <row r="431" spans="1:27" ht="14.25" customHeight="1" x14ac:dyDescent="0.3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</row>
    <row r="432" spans="1:27" ht="14.25" customHeight="1" x14ac:dyDescent="0.3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</row>
    <row r="433" spans="1:27" ht="14.25" customHeight="1" x14ac:dyDescent="0.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</row>
    <row r="434" spans="1:27" ht="14.25" customHeight="1" x14ac:dyDescent="0.3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</row>
    <row r="435" spans="1:27" ht="14.25" customHeight="1" x14ac:dyDescent="0.3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</row>
    <row r="436" spans="1:27" ht="14.25" customHeight="1" x14ac:dyDescent="0.3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</row>
    <row r="437" spans="1:27" ht="14.25" customHeight="1" x14ac:dyDescent="0.3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</row>
    <row r="438" spans="1:27" ht="14.25" customHeight="1" x14ac:dyDescent="0.3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</row>
    <row r="439" spans="1:27" ht="14.25" customHeight="1" x14ac:dyDescent="0.3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</row>
    <row r="440" spans="1:27" ht="14.25" customHeight="1" x14ac:dyDescent="0.3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</row>
    <row r="441" spans="1:27" ht="14.25" customHeight="1" x14ac:dyDescent="0.3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</row>
    <row r="442" spans="1:27" ht="14.25" customHeight="1" x14ac:dyDescent="0.3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</row>
    <row r="443" spans="1:27" ht="14.25" customHeight="1" x14ac:dyDescent="0.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</row>
    <row r="444" spans="1:27" ht="14.25" customHeight="1" x14ac:dyDescent="0.3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</row>
    <row r="445" spans="1:27" ht="14.25" customHeight="1" x14ac:dyDescent="0.3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</row>
    <row r="446" spans="1:27" ht="14.25" customHeight="1" x14ac:dyDescent="0.3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</row>
    <row r="447" spans="1:27" ht="14.25" customHeight="1" x14ac:dyDescent="0.3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</row>
    <row r="448" spans="1:27" ht="14.25" customHeight="1" x14ac:dyDescent="0.3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</row>
    <row r="449" spans="1:27" ht="14.25" customHeight="1" x14ac:dyDescent="0.3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</row>
    <row r="450" spans="1:27" ht="14.25" customHeight="1" x14ac:dyDescent="0.3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</row>
    <row r="451" spans="1:27" ht="14.25" customHeight="1" x14ac:dyDescent="0.3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</row>
    <row r="452" spans="1:27" ht="14.25" customHeight="1" x14ac:dyDescent="0.3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</row>
    <row r="453" spans="1:27" ht="14.25" customHeight="1" x14ac:dyDescent="0.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</row>
    <row r="454" spans="1:27" ht="14.25" customHeight="1" x14ac:dyDescent="0.3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</row>
    <row r="455" spans="1:27" ht="14.25" customHeight="1" x14ac:dyDescent="0.3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</row>
    <row r="456" spans="1:27" ht="14.25" customHeight="1" x14ac:dyDescent="0.3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</row>
    <row r="457" spans="1:27" ht="14.25" customHeight="1" x14ac:dyDescent="0.3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</row>
    <row r="458" spans="1:27" ht="14.25" customHeight="1" x14ac:dyDescent="0.3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</row>
    <row r="459" spans="1:27" ht="14.25" customHeight="1" x14ac:dyDescent="0.3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</row>
    <row r="460" spans="1:27" ht="14.25" customHeight="1" x14ac:dyDescent="0.3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</row>
    <row r="461" spans="1:27" ht="14.25" customHeight="1" x14ac:dyDescent="0.3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</row>
    <row r="462" spans="1:27" ht="14.25" customHeight="1" x14ac:dyDescent="0.3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</row>
    <row r="463" spans="1:27" ht="14.25" customHeight="1" x14ac:dyDescent="0.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</row>
    <row r="464" spans="1:27" ht="14.25" customHeight="1" x14ac:dyDescent="0.3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</row>
    <row r="465" spans="1:27" ht="14.25" customHeight="1" x14ac:dyDescent="0.3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</row>
    <row r="466" spans="1:27" ht="14.25" customHeight="1" x14ac:dyDescent="0.3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</row>
    <row r="467" spans="1:27" ht="14.25" customHeight="1" x14ac:dyDescent="0.3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</row>
    <row r="468" spans="1:27" ht="14.25" customHeight="1" x14ac:dyDescent="0.3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</row>
    <row r="469" spans="1:27" ht="14.25" customHeight="1" x14ac:dyDescent="0.3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</row>
    <row r="470" spans="1:27" ht="14.25" customHeight="1" x14ac:dyDescent="0.3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</row>
    <row r="471" spans="1:27" ht="14.25" customHeight="1" x14ac:dyDescent="0.3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</row>
    <row r="472" spans="1:27" ht="14.25" customHeight="1" x14ac:dyDescent="0.3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</row>
    <row r="473" spans="1:27" ht="14.25" customHeight="1" x14ac:dyDescent="0.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</row>
    <row r="474" spans="1:27" ht="14.25" customHeight="1" x14ac:dyDescent="0.3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</row>
    <row r="475" spans="1:27" ht="14.25" customHeight="1" x14ac:dyDescent="0.3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</row>
    <row r="476" spans="1:27" ht="14.25" customHeight="1" x14ac:dyDescent="0.3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</row>
    <row r="477" spans="1:27" ht="14.25" customHeight="1" x14ac:dyDescent="0.3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</row>
    <row r="478" spans="1:27" ht="14.25" customHeight="1" x14ac:dyDescent="0.3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</row>
    <row r="479" spans="1:27" ht="14.25" customHeight="1" x14ac:dyDescent="0.3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</row>
    <row r="480" spans="1:27" ht="14.25" customHeight="1" x14ac:dyDescent="0.3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</row>
    <row r="481" spans="1:27" ht="14.25" customHeight="1" x14ac:dyDescent="0.3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</row>
    <row r="482" spans="1:27" ht="14.25" customHeight="1" x14ac:dyDescent="0.3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</row>
    <row r="483" spans="1:27" ht="14.25" customHeight="1" x14ac:dyDescent="0.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</row>
    <row r="484" spans="1:27" ht="14.25" customHeight="1" x14ac:dyDescent="0.3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</row>
    <row r="485" spans="1:27" ht="14.25" customHeight="1" x14ac:dyDescent="0.3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</row>
    <row r="486" spans="1:27" ht="14.25" customHeight="1" x14ac:dyDescent="0.3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</row>
    <row r="487" spans="1:27" ht="14.25" customHeight="1" x14ac:dyDescent="0.3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</row>
    <row r="488" spans="1:27" ht="14.25" customHeight="1" x14ac:dyDescent="0.3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</row>
    <row r="489" spans="1:27" ht="14.25" customHeight="1" x14ac:dyDescent="0.3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</row>
    <row r="490" spans="1:27" ht="14.25" customHeight="1" x14ac:dyDescent="0.3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</row>
    <row r="491" spans="1:27" ht="14.25" customHeight="1" x14ac:dyDescent="0.3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</row>
    <row r="492" spans="1:27" ht="14.25" customHeight="1" x14ac:dyDescent="0.3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</row>
    <row r="493" spans="1:27" ht="14.25" customHeight="1" x14ac:dyDescent="0.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</row>
    <row r="494" spans="1:27" ht="14.25" customHeight="1" x14ac:dyDescent="0.3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</row>
    <row r="495" spans="1:27" ht="14.25" customHeight="1" x14ac:dyDescent="0.3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</row>
    <row r="496" spans="1:27" ht="14.25" customHeight="1" x14ac:dyDescent="0.3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</row>
    <row r="497" spans="1:27" ht="14.25" customHeight="1" x14ac:dyDescent="0.3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</row>
    <row r="498" spans="1:27" ht="14.25" customHeight="1" x14ac:dyDescent="0.3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</row>
    <row r="499" spans="1:27" ht="14.25" customHeight="1" x14ac:dyDescent="0.3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</row>
    <row r="500" spans="1:27" ht="14.25" customHeight="1" x14ac:dyDescent="0.3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</row>
    <row r="501" spans="1:27" ht="14.25" customHeight="1" x14ac:dyDescent="0.3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</row>
    <row r="502" spans="1:27" ht="14.25" customHeight="1" x14ac:dyDescent="0.3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</row>
    <row r="503" spans="1:27" ht="14.25" customHeight="1" x14ac:dyDescent="0.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</row>
    <row r="504" spans="1:27" ht="14.25" customHeight="1" x14ac:dyDescent="0.3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</row>
    <row r="505" spans="1:27" ht="14.25" customHeight="1" x14ac:dyDescent="0.3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</row>
    <row r="506" spans="1:27" ht="14.25" customHeight="1" x14ac:dyDescent="0.3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</row>
    <row r="507" spans="1:27" ht="14.25" customHeight="1" x14ac:dyDescent="0.3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</row>
    <row r="508" spans="1:27" ht="14.25" customHeight="1" x14ac:dyDescent="0.3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</row>
    <row r="509" spans="1:27" ht="14.25" customHeight="1" x14ac:dyDescent="0.3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</row>
    <row r="510" spans="1:27" ht="14.25" customHeight="1" x14ac:dyDescent="0.3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</row>
    <row r="511" spans="1:27" ht="14.25" customHeight="1" x14ac:dyDescent="0.3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</row>
    <row r="512" spans="1:27" ht="14.25" customHeight="1" x14ac:dyDescent="0.3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</row>
    <row r="513" spans="1:27" ht="14.25" customHeight="1" x14ac:dyDescent="0.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</row>
    <row r="514" spans="1:27" ht="14.25" customHeight="1" x14ac:dyDescent="0.3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</row>
    <row r="515" spans="1:27" ht="14.25" customHeight="1" x14ac:dyDescent="0.3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</row>
    <row r="516" spans="1:27" ht="14.25" customHeight="1" x14ac:dyDescent="0.3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</row>
    <row r="517" spans="1:27" ht="14.25" customHeight="1" x14ac:dyDescent="0.3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</row>
    <row r="518" spans="1:27" ht="14.25" customHeight="1" x14ac:dyDescent="0.3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</row>
    <row r="519" spans="1:27" ht="14.25" customHeight="1" x14ac:dyDescent="0.3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</row>
    <row r="520" spans="1:27" ht="14.25" customHeight="1" x14ac:dyDescent="0.3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</row>
    <row r="521" spans="1:27" ht="14.25" customHeight="1" x14ac:dyDescent="0.3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</row>
    <row r="522" spans="1:27" ht="14.25" customHeight="1" x14ac:dyDescent="0.3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</row>
    <row r="523" spans="1:27" ht="14.25" customHeight="1" x14ac:dyDescent="0.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</row>
    <row r="524" spans="1:27" ht="14.25" customHeight="1" x14ac:dyDescent="0.3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</row>
    <row r="525" spans="1:27" ht="14.25" customHeight="1" x14ac:dyDescent="0.3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</row>
    <row r="526" spans="1:27" ht="14.25" customHeight="1" x14ac:dyDescent="0.3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</row>
    <row r="527" spans="1:27" ht="14.25" customHeight="1" x14ac:dyDescent="0.3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</row>
    <row r="528" spans="1:27" ht="14.25" customHeight="1" x14ac:dyDescent="0.3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</row>
    <row r="529" spans="1:27" ht="14.25" customHeight="1" x14ac:dyDescent="0.3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</row>
    <row r="530" spans="1:27" ht="14.25" customHeight="1" x14ac:dyDescent="0.3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</row>
    <row r="531" spans="1:27" ht="14.25" customHeight="1" x14ac:dyDescent="0.3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</row>
    <row r="532" spans="1:27" ht="14.25" customHeight="1" x14ac:dyDescent="0.3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</row>
    <row r="533" spans="1:27" ht="14.25" customHeight="1" x14ac:dyDescent="0.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</row>
    <row r="534" spans="1:27" ht="14.25" customHeight="1" x14ac:dyDescent="0.3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</row>
    <row r="535" spans="1:27" ht="14.25" customHeight="1" x14ac:dyDescent="0.3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</row>
    <row r="536" spans="1:27" ht="14.25" customHeight="1" x14ac:dyDescent="0.3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</row>
    <row r="537" spans="1:27" ht="14.25" customHeight="1" x14ac:dyDescent="0.3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</row>
    <row r="538" spans="1:27" ht="14.25" customHeight="1" x14ac:dyDescent="0.3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</row>
    <row r="539" spans="1:27" ht="14.25" customHeight="1" x14ac:dyDescent="0.3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</row>
    <row r="540" spans="1:27" ht="14.25" customHeight="1" x14ac:dyDescent="0.3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</row>
    <row r="541" spans="1:27" ht="14.25" customHeight="1" x14ac:dyDescent="0.3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</row>
    <row r="542" spans="1:27" ht="14.25" customHeight="1" x14ac:dyDescent="0.3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</row>
    <row r="543" spans="1:27" ht="14.25" customHeight="1" x14ac:dyDescent="0.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</row>
    <row r="544" spans="1:27" ht="14.25" customHeight="1" x14ac:dyDescent="0.3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</row>
    <row r="545" spans="1:27" ht="14.25" customHeight="1" x14ac:dyDescent="0.3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</row>
    <row r="546" spans="1:27" ht="14.25" customHeight="1" x14ac:dyDescent="0.3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</row>
    <row r="547" spans="1:27" ht="14.25" customHeight="1" x14ac:dyDescent="0.3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</row>
    <row r="548" spans="1:27" ht="14.25" customHeight="1" x14ac:dyDescent="0.3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</row>
    <row r="549" spans="1:27" ht="14.25" customHeight="1" x14ac:dyDescent="0.3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</row>
    <row r="550" spans="1:27" ht="14.25" customHeight="1" x14ac:dyDescent="0.3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</row>
    <row r="551" spans="1:27" ht="14.25" customHeight="1" x14ac:dyDescent="0.3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</row>
    <row r="552" spans="1:27" ht="14.25" customHeight="1" x14ac:dyDescent="0.3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</row>
    <row r="553" spans="1:27" ht="14.25" customHeight="1" x14ac:dyDescent="0.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</row>
    <row r="554" spans="1:27" ht="14.25" customHeight="1" x14ac:dyDescent="0.3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</row>
    <row r="555" spans="1:27" ht="14.25" customHeight="1" x14ac:dyDescent="0.3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</row>
    <row r="556" spans="1:27" ht="14.25" customHeight="1" x14ac:dyDescent="0.3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</row>
    <row r="557" spans="1:27" ht="14.25" customHeight="1" x14ac:dyDescent="0.3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</row>
    <row r="558" spans="1:27" ht="14.25" customHeight="1" x14ac:dyDescent="0.3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</row>
    <row r="559" spans="1:27" ht="14.25" customHeight="1" x14ac:dyDescent="0.3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</row>
    <row r="560" spans="1:27" ht="14.25" customHeight="1" x14ac:dyDescent="0.3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</row>
    <row r="561" spans="1:27" ht="14.25" customHeight="1" x14ac:dyDescent="0.3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</row>
    <row r="562" spans="1:27" ht="14.25" customHeight="1" x14ac:dyDescent="0.3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</row>
    <row r="563" spans="1:27" ht="14.25" customHeight="1" x14ac:dyDescent="0.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</row>
    <row r="564" spans="1:27" ht="14.25" customHeight="1" x14ac:dyDescent="0.3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</row>
    <row r="565" spans="1:27" ht="14.25" customHeight="1" x14ac:dyDescent="0.3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</row>
    <row r="566" spans="1:27" ht="14.25" customHeight="1" x14ac:dyDescent="0.3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</row>
    <row r="567" spans="1:27" ht="14.25" customHeight="1" x14ac:dyDescent="0.3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</row>
    <row r="568" spans="1:27" ht="14.25" customHeight="1" x14ac:dyDescent="0.3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</row>
    <row r="569" spans="1:27" ht="14.25" customHeight="1" x14ac:dyDescent="0.3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</row>
    <row r="570" spans="1:27" ht="14.25" customHeight="1" x14ac:dyDescent="0.3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</row>
    <row r="571" spans="1:27" ht="14.25" customHeight="1" x14ac:dyDescent="0.3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</row>
    <row r="572" spans="1:27" ht="14.25" customHeight="1" x14ac:dyDescent="0.3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</row>
    <row r="573" spans="1:27" ht="14.25" customHeight="1" x14ac:dyDescent="0.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</row>
    <row r="574" spans="1:27" ht="14.25" customHeight="1" x14ac:dyDescent="0.3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</row>
    <row r="575" spans="1:27" ht="14.25" customHeight="1" x14ac:dyDescent="0.3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</row>
    <row r="576" spans="1:27" ht="14.25" customHeight="1" x14ac:dyDescent="0.3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</row>
    <row r="577" spans="1:27" ht="14.25" customHeight="1" x14ac:dyDescent="0.3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</row>
    <row r="578" spans="1:27" ht="14.25" customHeight="1" x14ac:dyDescent="0.3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</row>
    <row r="579" spans="1:27" ht="14.25" customHeight="1" x14ac:dyDescent="0.3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</row>
    <row r="580" spans="1:27" ht="14.25" customHeight="1" x14ac:dyDescent="0.3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</row>
    <row r="581" spans="1:27" ht="14.25" customHeight="1" x14ac:dyDescent="0.3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</row>
    <row r="582" spans="1:27" ht="14.25" customHeight="1" x14ac:dyDescent="0.3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</row>
    <row r="583" spans="1:27" ht="14.25" customHeight="1" x14ac:dyDescent="0.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</row>
    <row r="584" spans="1:27" ht="14.25" customHeight="1" x14ac:dyDescent="0.3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</row>
    <row r="585" spans="1:27" ht="14.25" customHeight="1" x14ac:dyDescent="0.3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</row>
    <row r="586" spans="1:27" ht="14.25" customHeight="1" x14ac:dyDescent="0.3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</row>
    <row r="587" spans="1:27" ht="14.25" customHeight="1" x14ac:dyDescent="0.3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</row>
    <row r="588" spans="1:27" ht="14.25" customHeight="1" x14ac:dyDescent="0.3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</row>
    <row r="589" spans="1:27" ht="14.25" customHeight="1" x14ac:dyDescent="0.3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</row>
    <row r="590" spans="1:27" ht="14.25" customHeight="1" x14ac:dyDescent="0.3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</row>
    <row r="591" spans="1:27" ht="14.25" customHeight="1" x14ac:dyDescent="0.3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</row>
    <row r="592" spans="1:27" ht="14.25" customHeight="1" x14ac:dyDescent="0.3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</row>
    <row r="593" spans="1:27" ht="14.25" customHeight="1" x14ac:dyDescent="0.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</row>
    <row r="594" spans="1:27" ht="14.25" customHeight="1" x14ac:dyDescent="0.3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</row>
    <row r="595" spans="1:27" ht="14.25" customHeight="1" x14ac:dyDescent="0.3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</row>
    <row r="596" spans="1:27" ht="14.25" customHeight="1" x14ac:dyDescent="0.3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</row>
    <row r="597" spans="1:27" ht="14.25" customHeight="1" x14ac:dyDescent="0.3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</row>
    <row r="598" spans="1:27" ht="14.25" customHeight="1" x14ac:dyDescent="0.3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</row>
    <row r="599" spans="1:27" ht="14.25" customHeight="1" x14ac:dyDescent="0.3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</row>
    <row r="600" spans="1:27" ht="14.25" customHeight="1" x14ac:dyDescent="0.3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</row>
    <row r="601" spans="1:27" ht="14.25" customHeight="1" x14ac:dyDescent="0.3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</row>
    <row r="602" spans="1:27" ht="14.25" customHeight="1" x14ac:dyDescent="0.3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</row>
    <row r="603" spans="1:27" ht="14.25" customHeight="1" x14ac:dyDescent="0.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</row>
    <row r="604" spans="1:27" ht="14.25" customHeight="1" x14ac:dyDescent="0.3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</row>
    <row r="605" spans="1:27" ht="14.25" customHeight="1" x14ac:dyDescent="0.3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</row>
    <row r="606" spans="1:27" ht="14.25" customHeight="1" x14ac:dyDescent="0.3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</row>
    <row r="607" spans="1:27" ht="14.25" customHeight="1" x14ac:dyDescent="0.3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</row>
    <row r="608" spans="1:27" ht="14.25" customHeight="1" x14ac:dyDescent="0.3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</row>
    <row r="609" spans="1:27" ht="14.25" customHeight="1" x14ac:dyDescent="0.3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</row>
    <row r="610" spans="1:27" ht="14.25" customHeight="1" x14ac:dyDescent="0.3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</row>
    <row r="611" spans="1:27" ht="14.25" customHeight="1" x14ac:dyDescent="0.3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</row>
    <row r="612" spans="1:27" ht="14.25" customHeight="1" x14ac:dyDescent="0.3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</row>
    <row r="613" spans="1:27" ht="14.25" customHeight="1" x14ac:dyDescent="0.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</row>
    <row r="614" spans="1:27" ht="14.25" customHeight="1" x14ac:dyDescent="0.3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</row>
    <row r="615" spans="1:27" ht="14.25" customHeight="1" x14ac:dyDescent="0.3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</row>
    <row r="616" spans="1:27" ht="14.25" customHeight="1" x14ac:dyDescent="0.3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</row>
    <row r="617" spans="1:27" ht="14.25" customHeight="1" x14ac:dyDescent="0.3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</row>
    <row r="618" spans="1:27" ht="14.25" customHeight="1" x14ac:dyDescent="0.3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</row>
    <row r="619" spans="1:27" ht="14.25" customHeight="1" x14ac:dyDescent="0.3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</row>
    <row r="620" spans="1:27" ht="14.25" customHeight="1" x14ac:dyDescent="0.3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</row>
    <row r="621" spans="1:27" ht="14.25" customHeight="1" x14ac:dyDescent="0.3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</row>
    <row r="622" spans="1:27" ht="14.25" customHeight="1" x14ac:dyDescent="0.3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</row>
    <row r="623" spans="1:27" ht="14.25" customHeight="1" x14ac:dyDescent="0.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</row>
    <row r="624" spans="1:27" ht="14.25" customHeight="1" x14ac:dyDescent="0.3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</row>
    <row r="625" spans="1:27" ht="14.25" customHeight="1" x14ac:dyDescent="0.3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</row>
    <row r="626" spans="1:27" ht="14.25" customHeight="1" x14ac:dyDescent="0.3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</row>
    <row r="627" spans="1:27" ht="14.25" customHeight="1" x14ac:dyDescent="0.3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</row>
    <row r="628" spans="1:27" ht="14.25" customHeight="1" x14ac:dyDescent="0.3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</row>
    <row r="629" spans="1:27" ht="14.25" customHeight="1" x14ac:dyDescent="0.3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</row>
    <row r="630" spans="1:27" ht="14.25" customHeight="1" x14ac:dyDescent="0.3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</row>
    <row r="631" spans="1:27" ht="14.25" customHeight="1" x14ac:dyDescent="0.3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</row>
    <row r="632" spans="1:27" ht="14.25" customHeight="1" x14ac:dyDescent="0.3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</row>
    <row r="633" spans="1:27" ht="14.25" customHeight="1" x14ac:dyDescent="0.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</row>
    <row r="634" spans="1:27" ht="14.25" customHeight="1" x14ac:dyDescent="0.3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</row>
    <row r="635" spans="1:27" ht="14.25" customHeight="1" x14ac:dyDescent="0.3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</row>
    <row r="636" spans="1:27" ht="14.25" customHeight="1" x14ac:dyDescent="0.3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</row>
    <row r="637" spans="1:27" ht="14.25" customHeight="1" x14ac:dyDescent="0.3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</row>
    <row r="638" spans="1:27" ht="14.25" customHeight="1" x14ac:dyDescent="0.3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</row>
    <row r="639" spans="1:27" ht="14.25" customHeight="1" x14ac:dyDescent="0.3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</row>
    <row r="640" spans="1:27" ht="14.25" customHeight="1" x14ac:dyDescent="0.3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</row>
    <row r="641" spans="1:27" ht="14.25" customHeight="1" x14ac:dyDescent="0.3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</row>
    <row r="642" spans="1:27" ht="14.25" customHeight="1" x14ac:dyDescent="0.3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</row>
    <row r="643" spans="1:27" ht="14.25" customHeight="1" x14ac:dyDescent="0.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</row>
    <row r="644" spans="1:27" ht="14.25" customHeight="1" x14ac:dyDescent="0.3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</row>
    <row r="645" spans="1:27" ht="14.25" customHeight="1" x14ac:dyDescent="0.3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</row>
    <row r="646" spans="1:27" ht="14.25" customHeight="1" x14ac:dyDescent="0.3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</row>
    <row r="647" spans="1:27" ht="14.25" customHeight="1" x14ac:dyDescent="0.3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</row>
    <row r="648" spans="1:27" ht="14.25" customHeight="1" x14ac:dyDescent="0.3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</row>
    <row r="649" spans="1:27" ht="14.25" customHeight="1" x14ac:dyDescent="0.3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</row>
    <row r="650" spans="1:27" ht="14.25" customHeight="1" x14ac:dyDescent="0.3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</row>
    <row r="651" spans="1:27" ht="14.25" customHeight="1" x14ac:dyDescent="0.3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</row>
    <row r="652" spans="1:27" ht="14.25" customHeight="1" x14ac:dyDescent="0.3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</row>
    <row r="653" spans="1:27" ht="14.25" customHeight="1" x14ac:dyDescent="0.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</row>
    <row r="654" spans="1:27" ht="14.25" customHeight="1" x14ac:dyDescent="0.3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</row>
    <row r="655" spans="1:27" ht="14.25" customHeight="1" x14ac:dyDescent="0.3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</row>
    <row r="656" spans="1:27" ht="14.25" customHeight="1" x14ac:dyDescent="0.3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</row>
    <row r="657" spans="1:27" ht="14.25" customHeight="1" x14ac:dyDescent="0.3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</row>
    <row r="658" spans="1:27" ht="14.25" customHeight="1" x14ac:dyDescent="0.3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</row>
    <row r="659" spans="1:27" ht="14.25" customHeight="1" x14ac:dyDescent="0.3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</row>
    <row r="660" spans="1:27" ht="14.25" customHeight="1" x14ac:dyDescent="0.3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</row>
    <row r="661" spans="1:27" ht="14.25" customHeight="1" x14ac:dyDescent="0.3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</row>
    <row r="662" spans="1:27" ht="14.25" customHeight="1" x14ac:dyDescent="0.3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</row>
    <row r="663" spans="1:27" ht="14.25" customHeight="1" x14ac:dyDescent="0.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</row>
    <row r="664" spans="1:27" ht="14.25" customHeight="1" x14ac:dyDescent="0.3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</row>
    <row r="665" spans="1:27" ht="14.25" customHeight="1" x14ac:dyDescent="0.3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</row>
    <row r="666" spans="1:27" ht="14.25" customHeight="1" x14ac:dyDescent="0.3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</row>
    <row r="667" spans="1:27" ht="14.25" customHeight="1" x14ac:dyDescent="0.3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</row>
    <row r="668" spans="1:27" ht="14.25" customHeight="1" x14ac:dyDescent="0.3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</row>
    <row r="669" spans="1:27" ht="14.25" customHeight="1" x14ac:dyDescent="0.3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</row>
    <row r="670" spans="1:27" ht="14.25" customHeight="1" x14ac:dyDescent="0.3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</row>
    <row r="671" spans="1:27" ht="14.25" customHeight="1" x14ac:dyDescent="0.3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</row>
    <row r="672" spans="1:27" ht="14.25" customHeight="1" x14ac:dyDescent="0.3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</row>
    <row r="673" spans="1:27" ht="14.25" customHeight="1" x14ac:dyDescent="0.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</row>
    <row r="674" spans="1:27" ht="14.25" customHeight="1" x14ac:dyDescent="0.3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</row>
    <row r="675" spans="1:27" ht="14.25" customHeight="1" x14ac:dyDescent="0.3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</row>
    <row r="676" spans="1:27" ht="14.25" customHeight="1" x14ac:dyDescent="0.3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</row>
    <row r="677" spans="1:27" ht="14.25" customHeight="1" x14ac:dyDescent="0.3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</row>
    <row r="678" spans="1:27" ht="14.25" customHeight="1" x14ac:dyDescent="0.3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</row>
    <row r="679" spans="1:27" ht="14.25" customHeight="1" x14ac:dyDescent="0.3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</row>
    <row r="680" spans="1:27" ht="14.25" customHeight="1" x14ac:dyDescent="0.3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</row>
    <row r="681" spans="1:27" ht="14.25" customHeight="1" x14ac:dyDescent="0.3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</row>
    <row r="682" spans="1:27" ht="14.25" customHeight="1" x14ac:dyDescent="0.3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</row>
    <row r="683" spans="1:27" ht="14.25" customHeight="1" x14ac:dyDescent="0.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</row>
    <row r="684" spans="1:27" ht="14.25" customHeight="1" x14ac:dyDescent="0.3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</row>
    <row r="685" spans="1:27" ht="14.25" customHeight="1" x14ac:dyDescent="0.3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</row>
    <row r="686" spans="1:27" ht="14.25" customHeight="1" x14ac:dyDescent="0.3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</row>
    <row r="687" spans="1:27" ht="14.25" customHeight="1" x14ac:dyDescent="0.3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</row>
    <row r="688" spans="1:27" ht="14.25" customHeight="1" x14ac:dyDescent="0.3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</row>
    <row r="689" spans="1:27" ht="14.25" customHeight="1" x14ac:dyDescent="0.3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</row>
    <row r="690" spans="1:27" ht="14.25" customHeight="1" x14ac:dyDescent="0.3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</row>
    <row r="691" spans="1:27" ht="14.25" customHeight="1" x14ac:dyDescent="0.3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</row>
    <row r="692" spans="1:27" ht="14.25" customHeight="1" x14ac:dyDescent="0.3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</row>
    <row r="693" spans="1:27" ht="14.25" customHeight="1" x14ac:dyDescent="0.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</row>
    <row r="694" spans="1:27" ht="14.25" customHeight="1" x14ac:dyDescent="0.3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</row>
    <row r="695" spans="1:27" ht="14.25" customHeight="1" x14ac:dyDescent="0.3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</row>
    <row r="696" spans="1:27" ht="14.25" customHeight="1" x14ac:dyDescent="0.3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</row>
    <row r="697" spans="1:27" ht="14.25" customHeight="1" x14ac:dyDescent="0.3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</row>
    <row r="698" spans="1:27" ht="14.25" customHeight="1" x14ac:dyDescent="0.3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</row>
    <row r="699" spans="1:27" ht="14.25" customHeight="1" x14ac:dyDescent="0.3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</row>
    <row r="700" spans="1:27" ht="14.25" customHeight="1" x14ac:dyDescent="0.3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</row>
    <row r="701" spans="1:27" ht="14.25" customHeight="1" x14ac:dyDescent="0.3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</row>
    <row r="702" spans="1:27" ht="14.25" customHeight="1" x14ac:dyDescent="0.3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</row>
    <row r="703" spans="1:27" ht="14.25" customHeight="1" x14ac:dyDescent="0.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</row>
    <row r="704" spans="1:27" ht="14.25" customHeight="1" x14ac:dyDescent="0.3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</row>
    <row r="705" spans="1:27" ht="14.25" customHeight="1" x14ac:dyDescent="0.3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</row>
    <row r="706" spans="1:27" ht="14.25" customHeight="1" x14ac:dyDescent="0.3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</row>
    <row r="707" spans="1:27" ht="14.25" customHeight="1" x14ac:dyDescent="0.3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</row>
    <row r="708" spans="1:27" ht="14.25" customHeight="1" x14ac:dyDescent="0.3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</row>
    <row r="709" spans="1:27" ht="14.25" customHeight="1" x14ac:dyDescent="0.3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</row>
    <row r="710" spans="1:27" ht="14.25" customHeight="1" x14ac:dyDescent="0.3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</row>
    <row r="711" spans="1:27" ht="14.25" customHeight="1" x14ac:dyDescent="0.3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</row>
    <row r="712" spans="1:27" ht="14.25" customHeight="1" x14ac:dyDescent="0.3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</row>
    <row r="713" spans="1:27" ht="14.25" customHeight="1" x14ac:dyDescent="0.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</row>
    <row r="714" spans="1:27" ht="14.25" customHeight="1" x14ac:dyDescent="0.3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</row>
    <row r="715" spans="1:27" ht="14.25" customHeight="1" x14ac:dyDescent="0.3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</row>
    <row r="716" spans="1:27" ht="14.25" customHeight="1" x14ac:dyDescent="0.3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</row>
    <row r="717" spans="1:27" ht="14.25" customHeight="1" x14ac:dyDescent="0.3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</row>
    <row r="718" spans="1:27" ht="14.25" customHeight="1" x14ac:dyDescent="0.3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</row>
    <row r="719" spans="1:27" ht="14.25" customHeight="1" x14ac:dyDescent="0.3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</row>
    <row r="720" spans="1:27" ht="14.25" customHeight="1" x14ac:dyDescent="0.3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</row>
    <row r="721" spans="1:27" ht="14.25" customHeight="1" x14ac:dyDescent="0.3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</row>
    <row r="722" spans="1:27" ht="14.25" customHeight="1" x14ac:dyDescent="0.3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</row>
    <row r="723" spans="1:27" ht="14.25" customHeight="1" x14ac:dyDescent="0.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</row>
    <row r="724" spans="1:27" ht="14.25" customHeight="1" x14ac:dyDescent="0.3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</row>
    <row r="725" spans="1:27" ht="14.25" customHeight="1" x14ac:dyDescent="0.3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</row>
    <row r="726" spans="1:27" ht="14.25" customHeight="1" x14ac:dyDescent="0.3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</row>
    <row r="727" spans="1:27" ht="14.25" customHeight="1" x14ac:dyDescent="0.3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</row>
    <row r="728" spans="1:27" ht="14.25" customHeight="1" x14ac:dyDescent="0.3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</row>
    <row r="729" spans="1:27" ht="14.25" customHeight="1" x14ac:dyDescent="0.3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</row>
    <row r="730" spans="1:27" ht="14.25" customHeight="1" x14ac:dyDescent="0.3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</row>
    <row r="731" spans="1:27" ht="14.25" customHeight="1" x14ac:dyDescent="0.3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</row>
    <row r="732" spans="1:27" ht="14.25" customHeight="1" x14ac:dyDescent="0.3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</row>
    <row r="733" spans="1:27" ht="14.25" customHeight="1" x14ac:dyDescent="0.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</row>
    <row r="734" spans="1:27" ht="14.25" customHeight="1" x14ac:dyDescent="0.3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</row>
    <row r="735" spans="1:27" ht="14.25" customHeight="1" x14ac:dyDescent="0.3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</row>
    <row r="736" spans="1:27" ht="14.25" customHeight="1" x14ac:dyDescent="0.3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</row>
    <row r="737" spans="1:27" ht="14.25" customHeight="1" x14ac:dyDescent="0.3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</row>
    <row r="738" spans="1:27" ht="14.25" customHeight="1" x14ac:dyDescent="0.3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</row>
    <row r="739" spans="1:27" ht="14.25" customHeight="1" x14ac:dyDescent="0.3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</row>
    <row r="740" spans="1:27" ht="14.25" customHeight="1" x14ac:dyDescent="0.3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</row>
    <row r="741" spans="1:27" ht="14.25" customHeight="1" x14ac:dyDescent="0.3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</row>
    <row r="742" spans="1:27" ht="14.25" customHeight="1" x14ac:dyDescent="0.3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</row>
    <row r="743" spans="1:27" ht="14.25" customHeight="1" x14ac:dyDescent="0.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</row>
    <row r="744" spans="1:27" ht="14.25" customHeight="1" x14ac:dyDescent="0.3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</row>
    <row r="745" spans="1:27" ht="14.25" customHeight="1" x14ac:dyDescent="0.3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</row>
    <row r="746" spans="1:27" ht="14.25" customHeight="1" x14ac:dyDescent="0.3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</row>
    <row r="747" spans="1:27" ht="14.25" customHeight="1" x14ac:dyDescent="0.3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</row>
    <row r="748" spans="1:27" ht="14.25" customHeight="1" x14ac:dyDescent="0.3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</row>
    <row r="749" spans="1:27" ht="14.25" customHeight="1" x14ac:dyDescent="0.3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</row>
    <row r="750" spans="1:27" ht="14.25" customHeight="1" x14ac:dyDescent="0.3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</row>
    <row r="751" spans="1:27" ht="14.25" customHeight="1" x14ac:dyDescent="0.3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</row>
    <row r="752" spans="1:27" ht="14.25" customHeight="1" x14ac:dyDescent="0.3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</row>
    <row r="753" spans="1:27" ht="14.25" customHeight="1" x14ac:dyDescent="0.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</row>
    <row r="754" spans="1:27" ht="14.25" customHeight="1" x14ac:dyDescent="0.3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</row>
    <row r="755" spans="1:27" ht="14.25" customHeight="1" x14ac:dyDescent="0.3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</row>
    <row r="756" spans="1:27" ht="14.25" customHeight="1" x14ac:dyDescent="0.3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</row>
    <row r="757" spans="1:27" ht="14.25" customHeight="1" x14ac:dyDescent="0.3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</row>
    <row r="758" spans="1:27" ht="14.25" customHeight="1" x14ac:dyDescent="0.3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</row>
    <row r="759" spans="1:27" ht="14.25" customHeight="1" x14ac:dyDescent="0.3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</row>
    <row r="760" spans="1:27" ht="14.25" customHeight="1" x14ac:dyDescent="0.3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</row>
    <row r="761" spans="1:27" ht="14.25" customHeight="1" x14ac:dyDescent="0.3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</row>
    <row r="762" spans="1:27" ht="14.25" customHeight="1" x14ac:dyDescent="0.3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</row>
    <row r="763" spans="1:27" ht="14.25" customHeight="1" x14ac:dyDescent="0.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</row>
    <row r="764" spans="1:27" ht="14.25" customHeight="1" x14ac:dyDescent="0.3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</row>
    <row r="765" spans="1:27" ht="14.25" customHeight="1" x14ac:dyDescent="0.3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</row>
    <row r="766" spans="1:27" ht="14.25" customHeight="1" x14ac:dyDescent="0.3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</row>
    <row r="767" spans="1:27" ht="14.25" customHeight="1" x14ac:dyDescent="0.3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</row>
    <row r="768" spans="1:27" ht="14.25" customHeight="1" x14ac:dyDescent="0.3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</row>
    <row r="769" spans="1:27" ht="14.25" customHeight="1" x14ac:dyDescent="0.3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</row>
    <row r="770" spans="1:27" ht="14.25" customHeight="1" x14ac:dyDescent="0.3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</row>
    <row r="771" spans="1:27" ht="14.25" customHeight="1" x14ac:dyDescent="0.3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</row>
    <row r="772" spans="1:27" ht="14.25" customHeight="1" x14ac:dyDescent="0.3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</row>
    <row r="773" spans="1:27" ht="14.25" customHeight="1" x14ac:dyDescent="0.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</row>
    <row r="774" spans="1:27" ht="14.25" customHeight="1" x14ac:dyDescent="0.3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</row>
    <row r="775" spans="1:27" ht="14.25" customHeight="1" x14ac:dyDescent="0.3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</row>
    <row r="776" spans="1:27" ht="14.25" customHeight="1" x14ac:dyDescent="0.3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</row>
    <row r="777" spans="1:27" ht="14.25" customHeight="1" x14ac:dyDescent="0.3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</row>
    <row r="778" spans="1:27" ht="14.25" customHeight="1" x14ac:dyDescent="0.3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</row>
    <row r="779" spans="1:27" ht="14.25" customHeight="1" x14ac:dyDescent="0.3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</row>
    <row r="780" spans="1:27" ht="14.25" customHeight="1" x14ac:dyDescent="0.3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</row>
    <row r="781" spans="1:27" ht="14.25" customHeight="1" x14ac:dyDescent="0.3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</row>
    <row r="782" spans="1:27" ht="14.25" customHeight="1" x14ac:dyDescent="0.3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</row>
    <row r="783" spans="1:27" ht="14.25" customHeight="1" x14ac:dyDescent="0.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</row>
    <row r="784" spans="1:27" ht="14.25" customHeight="1" x14ac:dyDescent="0.3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</row>
    <row r="785" spans="1:27" ht="14.25" customHeight="1" x14ac:dyDescent="0.3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</row>
    <row r="786" spans="1:27" ht="14.25" customHeight="1" x14ac:dyDescent="0.3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</row>
    <row r="787" spans="1:27" ht="14.25" customHeight="1" x14ac:dyDescent="0.3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</row>
    <row r="788" spans="1:27" ht="14.25" customHeight="1" x14ac:dyDescent="0.3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</row>
    <row r="789" spans="1:27" ht="14.25" customHeight="1" x14ac:dyDescent="0.3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</row>
    <row r="790" spans="1:27" ht="14.25" customHeight="1" x14ac:dyDescent="0.3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</row>
    <row r="791" spans="1:27" ht="14.25" customHeight="1" x14ac:dyDescent="0.3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</row>
    <row r="792" spans="1:27" ht="14.25" customHeight="1" x14ac:dyDescent="0.3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</row>
    <row r="793" spans="1:27" ht="14.25" customHeight="1" x14ac:dyDescent="0.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</row>
    <row r="794" spans="1:27" ht="14.25" customHeight="1" x14ac:dyDescent="0.3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</row>
    <row r="795" spans="1:27" ht="14.25" customHeight="1" x14ac:dyDescent="0.3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</row>
    <row r="796" spans="1:27" ht="14.25" customHeight="1" x14ac:dyDescent="0.3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</row>
    <row r="797" spans="1:27" ht="14.25" customHeight="1" x14ac:dyDescent="0.3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</row>
    <row r="798" spans="1:27" ht="14.25" customHeight="1" x14ac:dyDescent="0.3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</row>
    <row r="799" spans="1:27" ht="14.25" customHeight="1" x14ac:dyDescent="0.3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</row>
    <row r="800" spans="1:27" ht="14.25" customHeight="1" x14ac:dyDescent="0.3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</row>
    <row r="801" spans="1:27" ht="14.25" customHeight="1" x14ac:dyDescent="0.3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</row>
    <row r="802" spans="1:27" ht="14.25" customHeight="1" x14ac:dyDescent="0.3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</row>
    <row r="803" spans="1:27" ht="14.25" customHeight="1" x14ac:dyDescent="0.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</row>
    <row r="804" spans="1:27" ht="14.25" customHeight="1" x14ac:dyDescent="0.3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</row>
    <row r="805" spans="1:27" ht="14.25" customHeight="1" x14ac:dyDescent="0.3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</row>
    <row r="806" spans="1:27" ht="14.25" customHeight="1" x14ac:dyDescent="0.3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</row>
    <row r="807" spans="1:27" ht="14.25" customHeight="1" x14ac:dyDescent="0.3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</row>
    <row r="808" spans="1:27" ht="14.25" customHeight="1" x14ac:dyDescent="0.3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</row>
    <row r="809" spans="1:27" ht="14.25" customHeight="1" x14ac:dyDescent="0.3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</row>
    <row r="810" spans="1:27" ht="14.25" customHeight="1" x14ac:dyDescent="0.3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</row>
    <row r="811" spans="1:27" ht="14.25" customHeight="1" x14ac:dyDescent="0.3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</row>
    <row r="812" spans="1:27" ht="14.25" customHeight="1" x14ac:dyDescent="0.3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</row>
    <row r="813" spans="1:27" ht="14.25" customHeight="1" x14ac:dyDescent="0.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</row>
    <row r="814" spans="1:27" ht="14.25" customHeight="1" x14ac:dyDescent="0.3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</row>
    <row r="815" spans="1:27" ht="14.25" customHeight="1" x14ac:dyDescent="0.3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</row>
    <row r="816" spans="1:27" ht="14.25" customHeight="1" x14ac:dyDescent="0.3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</row>
    <row r="817" spans="1:27" ht="14.25" customHeight="1" x14ac:dyDescent="0.3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</row>
    <row r="818" spans="1:27" ht="14.25" customHeight="1" x14ac:dyDescent="0.3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</row>
    <row r="819" spans="1:27" ht="14.25" customHeight="1" x14ac:dyDescent="0.3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</row>
    <row r="820" spans="1:27" ht="14.25" customHeight="1" x14ac:dyDescent="0.3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</row>
    <row r="821" spans="1:27" ht="14.25" customHeight="1" x14ac:dyDescent="0.3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</row>
    <row r="822" spans="1:27" ht="14.25" customHeight="1" x14ac:dyDescent="0.3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</row>
    <row r="823" spans="1:27" ht="14.25" customHeight="1" x14ac:dyDescent="0.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</row>
    <row r="824" spans="1:27" ht="14.25" customHeight="1" x14ac:dyDescent="0.3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</row>
    <row r="825" spans="1:27" ht="14.25" customHeight="1" x14ac:dyDescent="0.3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</row>
    <row r="826" spans="1:27" ht="14.25" customHeight="1" x14ac:dyDescent="0.3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</row>
    <row r="827" spans="1:27" ht="14.25" customHeight="1" x14ac:dyDescent="0.3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</row>
    <row r="828" spans="1:27" ht="14.25" customHeight="1" x14ac:dyDescent="0.3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</row>
    <row r="829" spans="1:27" ht="14.25" customHeight="1" x14ac:dyDescent="0.3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</row>
    <row r="830" spans="1:27" ht="14.25" customHeight="1" x14ac:dyDescent="0.3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</row>
    <row r="831" spans="1:27" ht="14.25" customHeight="1" x14ac:dyDescent="0.3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</row>
    <row r="832" spans="1:27" ht="14.25" customHeight="1" x14ac:dyDescent="0.3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</row>
    <row r="833" spans="1:27" ht="14.25" customHeight="1" x14ac:dyDescent="0.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</row>
    <row r="834" spans="1:27" ht="14.25" customHeight="1" x14ac:dyDescent="0.3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</row>
    <row r="835" spans="1:27" ht="14.25" customHeight="1" x14ac:dyDescent="0.3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</row>
    <row r="836" spans="1:27" ht="14.25" customHeight="1" x14ac:dyDescent="0.3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</row>
    <row r="837" spans="1:27" ht="14.25" customHeight="1" x14ac:dyDescent="0.3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</row>
    <row r="838" spans="1:27" ht="14.25" customHeight="1" x14ac:dyDescent="0.3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</row>
    <row r="839" spans="1:27" ht="14.25" customHeight="1" x14ac:dyDescent="0.3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</row>
    <row r="840" spans="1:27" ht="14.25" customHeight="1" x14ac:dyDescent="0.3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</row>
    <row r="841" spans="1:27" ht="14.25" customHeight="1" x14ac:dyDescent="0.3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</row>
    <row r="842" spans="1:27" ht="14.25" customHeight="1" x14ac:dyDescent="0.3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</row>
    <row r="843" spans="1:27" ht="14.25" customHeight="1" x14ac:dyDescent="0.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</row>
    <row r="844" spans="1:27" ht="14.25" customHeight="1" x14ac:dyDescent="0.3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</row>
    <row r="845" spans="1:27" ht="14.25" customHeight="1" x14ac:dyDescent="0.3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</row>
    <row r="846" spans="1:27" ht="14.25" customHeight="1" x14ac:dyDescent="0.3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</row>
    <row r="847" spans="1:27" ht="14.25" customHeight="1" x14ac:dyDescent="0.3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</row>
    <row r="848" spans="1:27" ht="14.25" customHeight="1" x14ac:dyDescent="0.3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</row>
    <row r="849" spans="1:27" ht="14.25" customHeight="1" x14ac:dyDescent="0.3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</row>
    <row r="850" spans="1:27" ht="14.25" customHeight="1" x14ac:dyDescent="0.3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</row>
    <row r="851" spans="1:27" ht="14.25" customHeight="1" x14ac:dyDescent="0.3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</row>
    <row r="852" spans="1:27" ht="14.25" customHeight="1" x14ac:dyDescent="0.3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</row>
    <row r="853" spans="1:27" ht="14.25" customHeight="1" x14ac:dyDescent="0.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</row>
    <row r="854" spans="1:27" ht="14.25" customHeight="1" x14ac:dyDescent="0.3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</row>
    <row r="855" spans="1:27" ht="14.25" customHeight="1" x14ac:dyDescent="0.3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</row>
    <row r="856" spans="1:27" ht="14.25" customHeight="1" x14ac:dyDescent="0.3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</row>
    <row r="857" spans="1:27" ht="14.25" customHeight="1" x14ac:dyDescent="0.3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</row>
    <row r="858" spans="1:27" ht="14.25" customHeight="1" x14ac:dyDescent="0.3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</row>
    <row r="859" spans="1:27" ht="14.25" customHeight="1" x14ac:dyDescent="0.3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</row>
    <row r="860" spans="1:27" ht="14.25" customHeight="1" x14ac:dyDescent="0.3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</row>
    <row r="861" spans="1:27" ht="14.25" customHeight="1" x14ac:dyDescent="0.3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</row>
    <row r="862" spans="1:27" ht="14.25" customHeight="1" x14ac:dyDescent="0.3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</row>
    <row r="863" spans="1:27" ht="14.25" customHeight="1" x14ac:dyDescent="0.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</row>
    <row r="864" spans="1:27" ht="14.25" customHeight="1" x14ac:dyDescent="0.3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</row>
    <row r="865" spans="1:27" ht="14.25" customHeight="1" x14ac:dyDescent="0.3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</row>
    <row r="866" spans="1:27" ht="14.25" customHeight="1" x14ac:dyDescent="0.3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</row>
    <row r="867" spans="1:27" ht="14.25" customHeight="1" x14ac:dyDescent="0.3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</row>
    <row r="868" spans="1:27" ht="14.25" customHeight="1" x14ac:dyDescent="0.3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</row>
    <row r="869" spans="1:27" ht="14.25" customHeight="1" x14ac:dyDescent="0.3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</row>
    <row r="870" spans="1:27" ht="14.25" customHeight="1" x14ac:dyDescent="0.3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</row>
    <row r="871" spans="1:27" ht="14.25" customHeight="1" x14ac:dyDescent="0.3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</row>
    <row r="872" spans="1:27" ht="14.25" customHeight="1" x14ac:dyDescent="0.3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</row>
    <row r="873" spans="1:27" ht="14.25" customHeight="1" x14ac:dyDescent="0.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</row>
    <row r="874" spans="1:27" ht="14.25" customHeight="1" x14ac:dyDescent="0.3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</row>
    <row r="875" spans="1:27" ht="14.25" customHeight="1" x14ac:dyDescent="0.3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</row>
    <row r="876" spans="1:27" ht="14.25" customHeight="1" x14ac:dyDescent="0.3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</row>
    <row r="877" spans="1:27" ht="14.25" customHeight="1" x14ac:dyDescent="0.3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</row>
    <row r="878" spans="1:27" ht="14.25" customHeight="1" x14ac:dyDescent="0.3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</row>
    <row r="879" spans="1:27" ht="14.25" customHeight="1" x14ac:dyDescent="0.3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</row>
    <row r="880" spans="1:27" ht="14.25" customHeight="1" x14ac:dyDescent="0.3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</row>
    <row r="881" spans="1:27" ht="14.25" customHeight="1" x14ac:dyDescent="0.3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</row>
    <row r="882" spans="1:27" ht="14.25" customHeight="1" x14ac:dyDescent="0.3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</row>
    <row r="883" spans="1:27" ht="14.25" customHeight="1" x14ac:dyDescent="0.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</row>
    <row r="884" spans="1:27" ht="14.25" customHeight="1" x14ac:dyDescent="0.3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</row>
    <row r="885" spans="1:27" ht="14.25" customHeight="1" x14ac:dyDescent="0.3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</row>
    <row r="886" spans="1:27" ht="14.25" customHeight="1" x14ac:dyDescent="0.3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</row>
    <row r="887" spans="1:27" ht="14.25" customHeight="1" x14ac:dyDescent="0.3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</row>
    <row r="888" spans="1:27" ht="14.25" customHeight="1" x14ac:dyDescent="0.3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</row>
    <row r="889" spans="1:27" ht="14.25" customHeight="1" x14ac:dyDescent="0.3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</row>
    <row r="890" spans="1:27" ht="14.25" customHeight="1" x14ac:dyDescent="0.3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</row>
    <row r="891" spans="1:27" ht="14.25" customHeight="1" x14ac:dyDescent="0.3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</row>
    <row r="892" spans="1:27" ht="14.25" customHeight="1" x14ac:dyDescent="0.3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</row>
    <row r="893" spans="1:27" ht="14.25" customHeight="1" x14ac:dyDescent="0.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</row>
    <row r="894" spans="1:27" ht="14.25" customHeight="1" x14ac:dyDescent="0.3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</row>
    <row r="895" spans="1:27" ht="14.25" customHeight="1" x14ac:dyDescent="0.3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</row>
    <row r="896" spans="1:27" ht="14.25" customHeight="1" x14ac:dyDescent="0.3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</row>
    <row r="897" spans="1:27" ht="14.25" customHeight="1" x14ac:dyDescent="0.3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</row>
    <row r="898" spans="1:27" ht="14.25" customHeight="1" x14ac:dyDescent="0.3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</row>
    <row r="899" spans="1:27" ht="14.25" customHeight="1" x14ac:dyDescent="0.3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</row>
    <row r="900" spans="1:27" ht="14.25" customHeight="1" x14ac:dyDescent="0.3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</row>
    <row r="901" spans="1:27" ht="14.25" customHeight="1" x14ac:dyDescent="0.3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</row>
    <row r="902" spans="1:27" ht="14.25" customHeight="1" x14ac:dyDescent="0.3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</row>
    <row r="903" spans="1:27" ht="14.25" customHeight="1" x14ac:dyDescent="0.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</row>
    <row r="904" spans="1:27" ht="14.25" customHeight="1" x14ac:dyDescent="0.3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</row>
    <row r="905" spans="1:27" ht="14.25" customHeight="1" x14ac:dyDescent="0.3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</row>
    <row r="906" spans="1:27" ht="14.25" customHeight="1" x14ac:dyDescent="0.3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</row>
    <row r="907" spans="1:27" ht="14.25" customHeight="1" x14ac:dyDescent="0.3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</row>
    <row r="908" spans="1:27" ht="14.25" customHeight="1" x14ac:dyDescent="0.3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</row>
    <row r="909" spans="1:27" ht="14.25" customHeight="1" x14ac:dyDescent="0.3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</row>
    <row r="910" spans="1:27" ht="14.25" customHeight="1" x14ac:dyDescent="0.3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</row>
    <row r="911" spans="1:27" ht="14.25" customHeight="1" x14ac:dyDescent="0.3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</row>
    <row r="912" spans="1:27" ht="14.25" customHeight="1" x14ac:dyDescent="0.3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</row>
    <row r="913" spans="1:27" ht="14.25" customHeight="1" x14ac:dyDescent="0.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</row>
    <row r="914" spans="1:27" ht="14.25" customHeight="1" x14ac:dyDescent="0.3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</row>
    <row r="915" spans="1:27" ht="14.25" customHeight="1" x14ac:dyDescent="0.3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</row>
    <row r="916" spans="1:27" ht="14.25" customHeight="1" x14ac:dyDescent="0.3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</row>
    <row r="917" spans="1:27" ht="14.25" customHeight="1" x14ac:dyDescent="0.3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</row>
    <row r="918" spans="1:27" ht="14.25" customHeight="1" x14ac:dyDescent="0.3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</row>
    <row r="919" spans="1:27" ht="14.25" customHeight="1" x14ac:dyDescent="0.3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</row>
    <row r="920" spans="1:27" ht="14.25" customHeight="1" x14ac:dyDescent="0.3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</row>
    <row r="921" spans="1:27" ht="14.25" customHeight="1" x14ac:dyDescent="0.3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</row>
    <row r="922" spans="1:27" ht="14.25" customHeight="1" x14ac:dyDescent="0.3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</row>
    <row r="923" spans="1:27" ht="14.25" customHeight="1" x14ac:dyDescent="0.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</row>
    <row r="924" spans="1:27" ht="14.25" customHeight="1" x14ac:dyDescent="0.3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</row>
    <row r="925" spans="1:27" ht="14.25" customHeight="1" x14ac:dyDescent="0.3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</row>
    <row r="926" spans="1:27" ht="14.25" customHeight="1" x14ac:dyDescent="0.3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</row>
    <row r="927" spans="1:27" ht="14.25" customHeight="1" x14ac:dyDescent="0.3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</row>
    <row r="928" spans="1:27" ht="14.25" customHeight="1" x14ac:dyDescent="0.3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</row>
    <row r="929" spans="1:27" ht="14.25" customHeight="1" x14ac:dyDescent="0.3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</row>
    <row r="930" spans="1:27" ht="14.25" customHeight="1" x14ac:dyDescent="0.3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</row>
    <row r="931" spans="1:27" ht="14.25" customHeight="1" x14ac:dyDescent="0.3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</row>
    <row r="932" spans="1:27" ht="14.25" customHeight="1" x14ac:dyDescent="0.3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</row>
    <row r="933" spans="1:27" ht="14.25" customHeight="1" x14ac:dyDescent="0.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</row>
    <row r="934" spans="1:27" ht="14.25" customHeight="1" x14ac:dyDescent="0.3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</row>
    <row r="935" spans="1:27" ht="14.25" customHeight="1" x14ac:dyDescent="0.3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</row>
    <row r="936" spans="1:27" ht="14.25" customHeight="1" x14ac:dyDescent="0.3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</row>
    <row r="937" spans="1:27" ht="14.25" customHeight="1" x14ac:dyDescent="0.3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</row>
    <row r="938" spans="1:27" ht="14.25" customHeight="1" x14ac:dyDescent="0.3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</row>
    <row r="939" spans="1:27" ht="14.25" customHeight="1" x14ac:dyDescent="0.3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</row>
    <row r="940" spans="1:27" ht="14.25" customHeight="1" x14ac:dyDescent="0.3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</row>
    <row r="941" spans="1:27" ht="14.25" customHeight="1" x14ac:dyDescent="0.3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</row>
    <row r="942" spans="1:27" ht="14.25" customHeight="1" x14ac:dyDescent="0.3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</row>
    <row r="943" spans="1:27" ht="14.25" customHeight="1" x14ac:dyDescent="0.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</row>
    <row r="944" spans="1:27" ht="14.25" customHeight="1" x14ac:dyDescent="0.3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</row>
    <row r="945" spans="1:27" ht="14.25" customHeight="1" x14ac:dyDescent="0.3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</row>
    <row r="946" spans="1:27" ht="14.25" customHeight="1" x14ac:dyDescent="0.3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</row>
    <row r="947" spans="1:27" ht="14.25" customHeight="1" x14ac:dyDescent="0.3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</row>
    <row r="948" spans="1:27" ht="14.25" customHeight="1" x14ac:dyDescent="0.3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</row>
    <row r="949" spans="1:27" ht="14.25" customHeight="1" x14ac:dyDescent="0.3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</row>
    <row r="950" spans="1:27" ht="14.25" customHeight="1" x14ac:dyDescent="0.3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</row>
    <row r="951" spans="1:27" ht="14.25" customHeight="1" x14ac:dyDescent="0.3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</row>
    <row r="952" spans="1:27" ht="14.25" customHeight="1" x14ac:dyDescent="0.3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</row>
    <row r="953" spans="1:27" ht="14.25" customHeight="1" x14ac:dyDescent="0.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</row>
    <row r="954" spans="1:27" ht="14.25" customHeight="1" x14ac:dyDescent="0.3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</row>
    <row r="955" spans="1:27" ht="14.25" customHeight="1" x14ac:dyDescent="0.3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</row>
    <row r="956" spans="1:27" ht="14.25" customHeight="1" x14ac:dyDescent="0.3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</row>
    <row r="957" spans="1:27" ht="14.25" customHeight="1" x14ac:dyDescent="0.3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</row>
    <row r="958" spans="1:27" ht="14.25" customHeight="1" x14ac:dyDescent="0.3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</row>
    <row r="959" spans="1:27" ht="14.25" customHeight="1" x14ac:dyDescent="0.3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</row>
    <row r="960" spans="1:27" ht="14.25" customHeight="1" x14ac:dyDescent="0.3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</row>
    <row r="961" spans="1:27" ht="14.25" customHeight="1" x14ac:dyDescent="0.3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</row>
    <row r="962" spans="1:27" ht="14.25" customHeight="1" x14ac:dyDescent="0.3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</row>
    <row r="963" spans="1:27" ht="14.25" customHeight="1" x14ac:dyDescent="0.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</row>
    <row r="964" spans="1:27" ht="14.25" customHeight="1" x14ac:dyDescent="0.3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</row>
    <row r="965" spans="1:27" ht="14.25" customHeight="1" x14ac:dyDescent="0.3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</row>
    <row r="966" spans="1:27" ht="14.25" customHeight="1" x14ac:dyDescent="0.3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</row>
    <row r="967" spans="1:27" ht="14.25" customHeight="1" x14ac:dyDescent="0.3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</row>
    <row r="968" spans="1:27" ht="14.25" customHeight="1" x14ac:dyDescent="0.3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</row>
    <row r="969" spans="1:27" ht="14.25" customHeight="1" x14ac:dyDescent="0.3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</row>
    <row r="970" spans="1:27" ht="14.25" customHeight="1" x14ac:dyDescent="0.3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</row>
    <row r="971" spans="1:27" ht="14.25" customHeight="1" x14ac:dyDescent="0.3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</row>
    <row r="972" spans="1:27" ht="14.25" customHeight="1" x14ac:dyDescent="0.3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</row>
    <row r="973" spans="1:27" ht="14.25" customHeight="1" x14ac:dyDescent="0.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</row>
    <row r="974" spans="1:27" ht="14.25" customHeight="1" x14ac:dyDescent="0.3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</row>
    <row r="975" spans="1:27" ht="14.25" customHeight="1" x14ac:dyDescent="0.3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</row>
    <row r="976" spans="1:27" ht="14.25" customHeight="1" x14ac:dyDescent="0.3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</row>
    <row r="977" spans="1:27" ht="14.25" customHeight="1" x14ac:dyDescent="0.3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</row>
    <row r="978" spans="1:27" ht="14.25" customHeight="1" x14ac:dyDescent="0.3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</row>
    <row r="979" spans="1:27" ht="14.25" customHeight="1" x14ac:dyDescent="0.3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</row>
    <row r="980" spans="1:27" ht="14.25" customHeight="1" x14ac:dyDescent="0.3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</row>
    <row r="981" spans="1:27" ht="14.25" customHeight="1" x14ac:dyDescent="0.3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</row>
    <row r="982" spans="1:27" ht="14.25" customHeight="1" x14ac:dyDescent="0.3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</row>
    <row r="983" spans="1:27" ht="14.25" customHeight="1" x14ac:dyDescent="0.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</row>
    <row r="984" spans="1:27" ht="14.25" customHeight="1" x14ac:dyDescent="0.3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</row>
    <row r="985" spans="1:27" ht="14.25" customHeight="1" x14ac:dyDescent="0.3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</row>
    <row r="986" spans="1:27" ht="14.25" customHeight="1" x14ac:dyDescent="0.3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</row>
    <row r="987" spans="1:27" ht="14.25" customHeight="1" x14ac:dyDescent="0.3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</row>
    <row r="988" spans="1:27" ht="14.25" customHeight="1" x14ac:dyDescent="0.3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</row>
    <row r="989" spans="1:27" ht="14.25" customHeight="1" x14ac:dyDescent="0.3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</row>
    <row r="990" spans="1:27" ht="14.25" customHeight="1" x14ac:dyDescent="0.3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</row>
    <row r="991" spans="1:27" ht="14.25" customHeight="1" x14ac:dyDescent="0.3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</row>
    <row r="992" spans="1:27" ht="14.25" customHeight="1" x14ac:dyDescent="0.3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</row>
    <row r="993" spans="1:27" ht="14.25" customHeight="1" x14ac:dyDescent="0.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</row>
    <row r="994" spans="1:27" ht="14.25" customHeight="1" x14ac:dyDescent="0.3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</row>
    <row r="995" spans="1:27" ht="14.25" customHeight="1" x14ac:dyDescent="0.3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</row>
    <row r="996" spans="1:27" ht="14.25" customHeight="1" x14ac:dyDescent="0.3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</row>
    <row r="997" spans="1:27" ht="14.25" customHeight="1" x14ac:dyDescent="0.3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</row>
    <row r="998" spans="1:27" ht="14.25" customHeight="1" x14ac:dyDescent="0.3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</row>
    <row r="999" spans="1:27" ht="14.25" customHeight="1" x14ac:dyDescent="0.3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</row>
    <row r="1000" spans="1:27" ht="14.25" customHeight="1" x14ac:dyDescent="0.3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</row>
    <row r="1001" spans="1:27" ht="14.25" customHeight="1" x14ac:dyDescent="0.3">
      <c r="A1001" s="97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  <c r="Z1001" s="97"/>
      <c r="AA1001" s="97"/>
    </row>
    <row r="1002" spans="1:27" ht="14.25" customHeight="1" x14ac:dyDescent="0.3">
      <c r="A1002" s="97"/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  <c r="T1002" s="97"/>
      <c r="U1002" s="97"/>
      <c r="V1002" s="97"/>
      <c r="W1002" s="97"/>
      <c r="X1002" s="97"/>
      <c r="Y1002" s="97"/>
      <c r="Z1002" s="97"/>
      <c r="AA1002" s="97"/>
    </row>
    <row r="1003" spans="1:27" ht="14.25" customHeight="1" x14ac:dyDescent="0.3">
      <c r="A1003" s="97"/>
      <c r="B1003" s="97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  <c r="Z1003" s="97"/>
      <c r="AA1003" s="97"/>
    </row>
    <row r="1004" spans="1:27" ht="14.25" customHeight="1" x14ac:dyDescent="0.3">
      <c r="A1004" s="97"/>
      <c r="B1004" s="97"/>
      <c r="C1004" s="97"/>
      <c r="D1004" s="97"/>
      <c r="E1004" s="97"/>
      <c r="F1004" s="97"/>
      <c r="G1004" s="97"/>
      <c r="H1004" s="97"/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  <c r="S1004" s="97"/>
      <c r="T1004" s="97"/>
      <c r="U1004" s="97"/>
      <c r="V1004" s="97"/>
      <c r="W1004" s="97"/>
      <c r="X1004" s="97"/>
      <c r="Y1004" s="97"/>
      <c r="Z1004" s="97"/>
      <c r="AA1004" s="97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42"/>
  <sheetViews>
    <sheetView workbookViewId="0"/>
  </sheetViews>
  <sheetFormatPr defaultColWidth="14.44140625" defaultRowHeight="15" customHeight="1" x14ac:dyDescent="0.3"/>
  <cols>
    <col min="1" max="1" width="68.109375" customWidth="1"/>
  </cols>
  <sheetData>
    <row r="1" spans="1:2" x14ac:dyDescent="0.3">
      <c r="A1" s="16"/>
    </row>
    <row r="2" spans="1:2" x14ac:dyDescent="0.3">
      <c r="A2" s="106" t="s">
        <v>192</v>
      </c>
    </row>
    <row r="3" spans="1:2" x14ac:dyDescent="0.3">
      <c r="A3" s="106" t="s">
        <v>193</v>
      </c>
      <c r="B3" s="73" t="s">
        <v>194</v>
      </c>
    </row>
    <row r="4" spans="1:2" x14ac:dyDescent="0.3">
      <c r="A4" s="106" t="s">
        <v>197</v>
      </c>
      <c r="B4" s="73" t="s">
        <v>198</v>
      </c>
    </row>
    <row r="5" spans="1:2" x14ac:dyDescent="0.3">
      <c r="A5" s="107"/>
    </row>
    <row r="6" spans="1:2" x14ac:dyDescent="0.3">
      <c r="A6" s="107" t="s">
        <v>201</v>
      </c>
      <c r="B6" s="73" t="s">
        <v>194</v>
      </c>
    </row>
    <row r="7" spans="1:2" x14ac:dyDescent="0.3">
      <c r="A7" s="106" t="s">
        <v>203</v>
      </c>
    </row>
    <row r="8" spans="1:2" x14ac:dyDescent="0.3">
      <c r="A8" s="107" t="s">
        <v>214</v>
      </c>
    </row>
    <row r="9" spans="1:2" x14ac:dyDescent="0.3">
      <c r="A9" s="107"/>
    </row>
    <row r="10" spans="1:2" x14ac:dyDescent="0.3">
      <c r="A10" s="107" t="s">
        <v>217</v>
      </c>
    </row>
    <row r="11" spans="1:2" x14ac:dyDescent="0.3">
      <c r="A11" s="106"/>
    </row>
    <row r="12" spans="1:2" x14ac:dyDescent="0.3">
      <c r="A12" s="106" t="s">
        <v>218</v>
      </c>
    </row>
    <row r="13" spans="1:2" x14ac:dyDescent="0.3">
      <c r="A13" s="107" t="s">
        <v>219</v>
      </c>
      <c r="B13" s="73" t="s">
        <v>198</v>
      </c>
    </row>
    <row r="14" spans="1:2" x14ac:dyDescent="0.3">
      <c r="A14" s="107" t="s">
        <v>221</v>
      </c>
      <c r="B14" s="73" t="s">
        <v>194</v>
      </c>
    </row>
    <row r="15" spans="1:2" x14ac:dyDescent="0.3">
      <c r="A15" s="107" t="s">
        <v>222</v>
      </c>
      <c r="B15" s="73" t="s">
        <v>198</v>
      </c>
    </row>
    <row r="16" spans="1:2" x14ac:dyDescent="0.3">
      <c r="A16" s="107" t="s">
        <v>223</v>
      </c>
      <c r="B16" s="73" t="s">
        <v>194</v>
      </c>
    </row>
    <row r="17" spans="1:2" x14ac:dyDescent="0.3">
      <c r="A17" s="107" t="s">
        <v>224</v>
      </c>
      <c r="B17" s="73" t="s">
        <v>198</v>
      </c>
    </row>
    <row r="18" spans="1:2" x14ac:dyDescent="0.3">
      <c r="A18" s="107" t="s">
        <v>225</v>
      </c>
      <c r="B18" s="73" t="s">
        <v>194</v>
      </c>
    </row>
    <row r="19" spans="1:2" x14ac:dyDescent="0.3">
      <c r="A19" s="107" t="s">
        <v>226</v>
      </c>
      <c r="B19" s="73" t="s">
        <v>194</v>
      </c>
    </row>
    <row r="20" spans="1:2" x14ac:dyDescent="0.3">
      <c r="A20" s="106"/>
    </row>
    <row r="21" spans="1:2" x14ac:dyDescent="0.3">
      <c r="A21" s="106" t="s">
        <v>227</v>
      </c>
    </row>
    <row r="22" spans="1:2" x14ac:dyDescent="0.3">
      <c r="A22" s="107"/>
    </row>
    <row r="23" spans="1:2" x14ac:dyDescent="0.3">
      <c r="A23" s="106" t="s">
        <v>228</v>
      </c>
    </row>
    <row r="24" spans="1:2" x14ac:dyDescent="0.3">
      <c r="A24" s="107" t="s">
        <v>229</v>
      </c>
      <c r="B24" s="73" t="s">
        <v>194</v>
      </c>
    </row>
    <row r="25" spans="1:2" x14ac:dyDescent="0.3">
      <c r="A25" s="107" t="s">
        <v>230</v>
      </c>
      <c r="B25" s="73" t="str">
        <f t="shared" ref="B25:B28" si="0">MID(A25,FIND(" ",A25) + 1,FIND(CHAR(160),SUBSTITUTE(A25," ",CHAR(160),2)) - 1 - (FIND(" ",A25)))</f>
        <v>chi</v>
      </c>
    </row>
    <row r="26" spans="1:2" x14ac:dyDescent="0.3">
      <c r="A26" s="107" t="s">
        <v>234</v>
      </c>
      <c r="B26" s="73" t="str">
        <f t="shared" si="0"/>
        <v>thu</v>
      </c>
    </row>
    <row r="27" spans="1:2" x14ac:dyDescent="0.3">
      <c r="A27" s="107" t="s">
        <v>235</v>
      </c>
      <c r="B27" s="73" t="str">
        <f t="shared" si="0"/>
        <v>chi</v>
      </c>
    </row>
    <row r="28" spans="1:2" x14ac:dyDescent="0.3">
      <c r="A28" s="107" t="s">
        <v>236</v>
      </c>
      <c r="B28" s="73" t="str">
        <f t="shared" si="0"/>
        <v>chi</v>
      </c>
    </row>
    <row r="29" spans="1:2" x14ac:dyDescent="0.3">
      <c r="A29" s="106" t="s">
        <v>237</v>
      </c>
      <c r="B29" s="73" t="s">
        <v>198</v>
      </c>
    </row>
    <row r="30" spans="1:2" x14ac:dyDescent="0.3">
      <c r="A30" s="106" t="s">
        <v>238</v>
      </c>
      <c r="B30" s="73" t="s">
        <v>194</v>
      </c>
    </row>
    <row r="31" spans="1:2" x14ac:dyDescent="0.3">
      <c r="A31" s="107" t="s">
        <v>239</v>
      </c>
      <c r="B31" s="73" t="s">
        <v>194</v>
      </c>
    </row>
    <row r="32" spans="1:2" x14ac:dyDescent="0.3">
      <c r="A32" s="107" t="s">
        <v>242</v>
      </c>
    </row>
    <row r="33" spans="1:1" x14ac:dyDescent="0.3">
      <c r="A33" s="107"/>
    </row>
    <row r="34" spans="1:1" x14ac:dyDescent="0.3">
      <c r="A34" s="106" t="s">
        <v>244</v>
      </c>
    </row>
    <row r="35" spans="1:1" x14ac:dyDescent="0.3">
      <c r="A35" s="107"/>
    </row>
    <row r="36" spans="1:1" x14ac:dyDescent="0.3">
      <c r="A36" s="107" t="s">
        <v>245</v>
      </c>
    </row>
    <row r="37" spans="1:1" x14ac:dyDescent="0.3">
      <c r="A37" s="107"/>
    </row>
    <row r="38" spans="1:1" x14ac:dyDescent="0.3">
      <c r="A38" s="114" t="s">
        <v>246</v>
      </c>
    </row>
    <row r="39" spans="1:1" x14ac:dyDescent="0.3">
      <c r="A39" s="114"/>
    </row>
    <row r="40" spans="1:1" x14ac:dyDescent="0.3">
      <c r="A40" s="116" t="s">
        <v>247</v>
      </c>
    </row>
    <row r="41" spans="1:1" x14ac:dyDescent="0.3">
      <c r="A41" s="117"/>
    </row>
    <row r="42" spans="1:1" x14ac:dyDescent="0.3">
      <c r="A42" s="119" t="s">
        <v>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C9"/>
  <sheetViews>
    <sheetView workbookViewId="0"/>
  </sheetViews>
  <sheetFormatPr defaultColWidth="14.44140625" defaultRowHeight="15" customHeight="1" x14ac:dyDescent="0.3"/>
  <cols>
    <col min="1" max="1" width="28.109375" customWidth="1"/>
    <col min="2" max="2" width="25.88671875" customWidth="1"/>
  </cols>
  <sheetData>
    <row r="1" spans="1:3" ht="15" customHeight="1" x14ac:dyDescent="0.35">
      <c r="A1" s="121" t="s">
        <v>254</v>
      </c>
      <c r="B1" s="122" t="s">
        <v>255</v>
      </c>
      <c r="C1" s="123" t="s">
        <v>2</v>
      </c>
    </row>
    <row r="2" spans="1:3" x14ac:dyDescent="0.3">
      <c r="A2" s="42" t="s">
        <v>256</v>
      </c>
      <c r="B2" s="42" t="s">
        <v>257</v>
      </c>
      <c r="C2" s="124">
        <v>6</v>
      </c>
    </row>
    <row r="3" spans="1:3" x14ac:dyDescent="0.3">
      <c r="A3" s="42" t="s">
        <v>258</v>
      </c>
      <c r="B3" s="42" t="s">
        <v>259</v>
      </c>
      <c r="C3" s="124">
        <v>3.7</v>
      </c>
    </row>
    <row r="4" spans="1:3" x14ac:dyDescent="0.3">
      <c r="A4" s="42" t="s">
        <v>260</v>
      </c>
      <c r="B4" s="42" t="s">
        <v>261</v>
      </c>
      <c r="C4" s="124">
        <v>10</v>
      </c>
    </row>
    <row r="5" spans="1:3" x14ac:dyDescent="0.3">
      <c r="A5" s="42"/>
      <c r="B5" s="42"/>
      <c r="C5" s="42"/>
    </row>
    <row r="6" spans="1:3" x14ac:dyDescent="0.3">
      <c r="A6" s="42" t="s">
        <v>262</v>
      </c>
      <c r="B6" s="42" t="s">
        <v>263</v>
      </c>
      <c r="C6" s="124">
        <v>60.8</v>
      </c>
    </row>
    <row r="7" spans="1:3" x14ac:dyDescent="0.3">
      <c r="A7" s="42" t="s">
        <v>265</v>
      </c>
      <c r="B7" s="42" t="s">
        <v>266</v>
      </c>
      <c r="C7" s="124">
        <v>98.6</v>
      </c>
    </row>
    <row r="8" spans="1:3" x14ac:dyDescent="0.3">
      <c r="A8" s="42" t="s">
        <v>267</v>
      </c>
      <c r="B8" s="42" t="s">
        <v>268</v>
      </c>
      <c r="C8" s="124">
        <v>36.5</v>
      </c>
    </row>
    <row r="9" spans="1:3" x14ac:dyDescent="0.3">
      <c r="A9" s="42" t="s">
        <v>269</v>
      </c>
      <c r="B9" s="42" t="s">
        <v>270</v>
      </c>
      <c r="C9" s="124">
        <v>123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4.44140625" defaultRowHeight="15" customHeight="1" x14ac:dyDescent="0.3"/>
  <cols>
    <col min="1" max="1" width="74.33203125" customWidth="1"/>
    <col min="2" max="2" width="16.44140625" customWidth="1"/>
    <col min="3" max="26" width="8" customWidth="1"/>
  </cols>
  <sheetData>
    <row r="1" spans="1:2" ht="14.25" customHeight="1" x14ac:dyDescent="0.3">
      <c r="B1" s="131"/>
    </row>
    <row r="2" spans="1:2" ht="14.25" customHeight="1" x14ac:dyDescent="0.3">
      <c r="A2" s="132" t="s">
        <v>271</v>
      </c>
      <c r="B2" s="133" t="s">
        <v>272</v>
      </c>
    </row>
    <row r="3" spans="1:2" ht="14.25" customHeight="1" x14ac:dyDescent="0.3">
      <c r="A3" s="132" t="s">
        <v>273</v>
      </c>
      <c r="B3" s="133">
        <v>917100</v>
      </c>
    </row>
    <row r="4" spans="1:2" ht="14.25" customHeight="1" x14ac:dyDescent="0.3">
      <c r="A4" s="132" t="s">
        <v>274</v>
      </c>
      <c r="B4" s="134">
        <v>0.94</v>
      </c>
    </row>
    <row r="5" spans="1:2" ht="14.25" customHeight="1" x14ac:dyDescent="0.3">
      <c r="A5" s="132" t="s">
        <v>275</v>
      </c>
      <c r="B5" s="134">
        <v>0.03</v>
      </c>
    </row>
    <row r="6" spans="1:2" ht="14.25" customHeight="1" x14ac:dyDescent="0.3">
      <c r="A6" s="132" t="s">
        <v>276</v>
      </c>
      <c r="B6" s="133">
        <v>44.730311241702388</v>
      </c>
    </row>
    <row r="7" spans="1:2" ht="14.25" customHeight="1" x14ac:dyDescent="0.3">
      <c r="A7" s="132" t="s">
        <v>277</v>
      </c>
      <c r="B7" s="133">
        <v>44.730311241702388</v>
      </c>
    </row>
    <row r="8" spans="1:2" ht="14.25" customHeight="1" x14ac:dyDescent="0.3">
      <c r="A8" s="132" t="s">
        <v>278</v>
      </c>
      <c r="B8" s="133">
        <v>90</v>
      </c>
    </row>
    <row r="9" spans="1:2" ht="14.25" customHeight="1" x14ac:dyDescent="0.3">
      <c r="A9" s="132" t="s">
        <v>279</v>
      </c>
      <c r="B9" s="133">
        <v>60</v>
      </c>
    </row>
    <row r="10" spans="1:2" ht="14.25" customHeight="1" x14ac:dyDescent="0.3">
      <c r="A10" s="132" t="s">
        <v>268</v>
      </c>
      <c r="B10" s="133">
        <v>90</v>
      </c>
    </row>
    <row r="11" spans="1:2" ht="14.25" customHeight="1" x14ac:dyDescent="0.3">
      <c r="A11" s="132" t="s">
        <v>280</v>
      </c>
      <c r="B11" s="133">
        <v>0.1</v>
      </c>
    </row>
    <row r="12" spans="1:2" ht="14.25" customHeight="1" x14ac:dyDescent="0.3">
      <c r="A12" s="132" t="s">
        <v>281</v>
      </c>
      <c r="B12" s="133"/>
    </row>
    <row r="13" spans="1:2" ht="14.25" customHeight="1" x14ac:dyDescent="0.3">
      <c r="A13" s="132" t="s">
        <v>282</v>
      </c>
      <c r="B13" s="133">
        <v>892058</v>
      </c>
    </row>
    <row r="14" spans="1:2" ht="14.25" customHeight="1" x14ac:dyDescent="0.3">
      <c r="A14" s="132" t="s">
        <v>283</v>
      </c>
      <c r="B14" s="133">
        <v>175</v>
      </c>
    </row>
    <row r="15" spans="1:2" ht="14.25" customHeight="1" x14ac:dyDescent="0.3">
      <c r="A15" s="132" t="s">
        <v>284</v>
      </c>
      <c r="B15" s="133">
        <v>2.0857142857142859</v>
      </c>
    </row>
    <row r="16" spans="1:2" ht="14.25" customHeight="1" x14ac:dyDescent="0.3">
      <c r="A16" s="132" t="s">
        <v>285</v>
      </c>
      <c r="B16" s="133">
        <v>427699</v>
      </c>
    </row>
    <row r="17" spans="2:2" ht="14.25" customHeight="1" x14ac:dyDescent="0.3">
      <c r="B17" s="131"/>
    </row>
    <row r="18" spans="2:2" ht="14.25" customHeight="1" x14ac:dyDescent="0.3">
      <c r="B18" s="131"/>
    </row>
    <row r="19" spans="2:2" ht="14.25" customHeight="1" x14ac:dyDescent="0.3">
      <c r="B19" s="131"/>
    </row>
    <row r="20" spans="2:2" ht="14.25" customHeight="1" x14ac:dyDescent="0.3">
      <c r="B20" s="131"/>
    </row>
    <row r="21" spans="2:2" ht="14.25" customHeight="1" x14ac:dyDescent="0.3">
      <c r="B21" s="131"/>
    </row>
    <row r="22" spans="2:2" ht="14.25" customHeight="1" x14ac:dyDescent="0.3">
      <c r="B22" s="131"/>
    </row>
    <row r="23" spans="2:2" ht="14.25" customHeight="1" x14ac:dyDescent="0.3">
      <c r="B23" s="131"/>
    </row>
    <row r="24" spans="2:2" ht="14.25" customHeight="1" x14ac:dyDescent="0.3">
      <c r="B24" s="131"/>
    </row>
    <row r="25" spans="2:2" ht="14.25" customHeight="1" x14ac:dyDescent="0.3">
      <c r="B25" s="131"/>
    </row>
    <row r="26" spans="2:2" ht="14.25" customHeight="1" x14ac:dyDescent="0.3">
      <c r="B26" s="131"/>
    </row>
    <row r="27" spans="2:2" ht="14.25" customHeight="1" x14ac:dyDescent="0.3">
      <c r="B27" s="131"/>
    </row>
    <row r="28" spans="2:2" ht="14.25" customHeight="1" x14ac:dyDescent="0.3">
      <c r="B28" s="131"/>
    </row>
    <row r="29" spans="2:2" ht="14.25" customHeight="1" x14ac:dyDescent="0.3">
      <c r="B29" s="131"/>
    </row>
    <row r="30" spans="2:2" ht="14.25" customHeight="1" x14ac:dyDescent="0.3">
      <c r="B30" s="131"/>
    </row>
    <row r="31" spans="2:2" ht="14.25" customHeight="1" x14ac:dyDescent="0.3">
      <c r="B31" s="131"/>
    </row>
    <row r="32" spans="2:2" ht="14.25" customHeight="1" x14ac:dyDescent="0.3">
      <c r="B32" s="131"/>
    </row>
    <row r="33" spans="2:2" ht="14.25" customHeight="1" x14ac:dyDescent="0.3">
      <c r="B33" s="131"/>
    </row>
    <row r="34" spans="2:2" ht="14.25" customHeight="1" x14ac:dyDescent="0.3">
      <c r="B34" s="131"/>
    </row>
    <row r="35" spans="2:2" ht="14.25" customHeight="1" x14ac:dyDescent="0.3">
      <c r="B35" s="131"/>
    </row>
    <row r="36" spans="2:2" ht="14.25" customHeight="1" x14ac:dyDescent="0.3">
      <c r="B36" s="131"/>
    </row>
    <row r="37" spans="2:2" ht="14.25" customHeight="1" x14ac:dyDescent="0.3">
      <c r="B37" s="131"/>
    </row>
    <row r="38" spans="2:2" ht="14.25" customHeight="1" x14ac:dyDescent="0.3">
      <c r="B38" s="131"/>
    </row>
    <row r="39" spans="2:2" ht="14.25" customHeight="1" x14ac:dyDescent="0.3">
      <c r="B39" s="131"/>
    </row>
    <row r="40" spans="2:2" ht="14.25" customHeight="1" x14ac:dyDescent="0.3">
      <c r="B40" s="131"/>
    </row>
    <row r="41" spans="2:2" ht="14.25" customHeight="1" x14ac:dyDescent="0.3">
      <c r="B41" s="131"/>
    </row>
    <row r="42" spans="2:2" ht="14.25" customHeight="1" x14ac:dyDescent="0.3">
      <c r="B42" s="131"/>
    </row>
    <row r="43" spans="2:2" ht="14.25" customHeight="1" x14ac:dyDescent="0.3">
      <c r="B43" s="131"/>
    </row>
    <row r="44" spans="2:2" ht="14.25" customHeight="1" x14ac:dyDescent="0.3">
      <c r="B44" s="131"/>
    </row>
    <row r="45" spans="2:2" ht="14.25" customHeight="1" x14ac:dyDescent="0.3">
      <c r="B45" s="131"/>
    </row>
    <row r="46" spans="2:2" ht="14.25" customHeight="1" x14ac:dyDescent="0.3">
      <c r="B46" s="131"/>
    </row>
    <row r="47" spans="2:2" ht="14.25" customHeight="1" x14ac:dyDescent="0.3">
      <c r="B47" s="131"/>
    </row>
    <row r="48" spans="2:2" ht="14.25" customHeight="1" x14ac:dyDescent="0.3">
      <c r="B48" s="131"/>
    </row>
    <row r="49" spans="2:2" ht="14.25" customHeight="1" x14ac:dyDescent="0.3">
      <c r="B49" s="131"/>
    </row>
    <row r="50" spans="2:2" ht="14.25" customHeight="1" x14ac:dyDescent="0.3">
      <c r="B50" s="131"/>
    </row>
    <row r="51" spans="2:2" ht="14.25" customHeight="1" x14ac:dyDescent="0.3">
      <c r="B51" s="131"/>
    </row>
    <row r="52" spans="2:2" ht="14.25" customHeight="1" x14ac:dyDescent="0.3">
      <c r="B52" s="131"/>
    </row>
    <row r="53" spans="2:2" ht="14.25" customHeight="1" x14ac:dyDescent="0.3">
      <c r="B53" s="131"/>
    </row>
    <row r="54" spans="2:2" ht="14.25" customHeight="1" x14ac:dyDescent="0.3">
      <c r="B54" s="131"/>
    </row>
    <row r="55" spans="2:2" ht="14.25" customHeight="1" x14ac:dyDescent="0.3">
      <c r="B55" s="131"/>
    </row>
    <row r="56" spans="2:2" ht="14.25" customHeight="1" x14ac:dyDescent="0.3">
      <c r="B56" s="131"/>
    </row>
    <row r="57" spans="2:2" ht="14.25" customHeight="1" x14ac:dyDescent="0.3">
      <c r="B57" s="131"/>
    </row>
    <row r="58" spans="2:2" ht="14.25" customHeight="1" x14ac:dyDescent="0.3">
      <c r="B58" s="131"/>
    </row>
    <row r="59" spans="2:2" ht="14.25" customHeight="1" x14ac:dyDescent="0.3">
      <c r="B59" s="131"/>
    </row>
    <row r="60" spans="2:2" ht="14.25" customHeight="1" x14ac:dyDescent="0.3">
      <c r="B60" s="131"/>
    </row>
    <row r="61" spans="2:2" ht="14.25" customHeight="1" x14ac:dyDescent="0.3">
      <c r="B61" s="131"/>
    </row>
    <row r="62" spans="2:2" ht="14.25" customHeight="1" x14ac:dyDescent="0.3">
      <c r="B62" s="131"/>
    </row>
    <row r="63" spans="2:2" ht="14.25" customHeight="1" x14ac:dyDescent="0.3">
      <c r="B63" s="131"/>
    </row>
    <row r="64" spans="2:2" ht="14.25" customHeight="1" x14ac:dyDescent="0.3">
      <c r="B64" s="131"/>
    </row>
    <row r="65" spans="2:2" ht="14.25" customHeight="1" x14ac:dyDescent="0.3">
      <c r="B65" s="131"/>
    </row>
    <row r="66" spans="2:2" ht="14.25" customHeight="1" x14ac:dyDescent="0.3">
      <c r="B66" s="131"/>
    </row>
    <row r="67" spans="2:2" ht="14.25" customHeight="1" x14ac:dyDescent="0.3">
      <c r="B67" s="131"/>
    </row>
    <row r="68" spans="2:2" ht="14.25" customHeight="1" x14ac:dyDescent="0.3">
      <c r="B68" s="131"/>
    </row>
    <row r="69" spans="2:2" ht="14.25" customHeight="1" x14ac:dyDescent="0.3">
      <c r="B69" s="131"/>
    </row>
    <row r="70" spans="2:2" ht="14.25" customHeight="1" x14ac:dyDescent="0.3">
      <c r="B70" s="131"/>
    </row>
    <row r="71" spans="2:2" ht="14.25" customHeight="1" x14ac:dyDescent="0.3">
      <c r="B71" s="131"/>
    </row>
    <row r="72" spans="2:2" ht="14.25" customHeight="1" x14ac:dyDescent="0.3">
      <c r="B72" s="131"/>
    </row>
    <row r="73" spans="2:2" ht="14.25" customHeight="1" x14ac:dyDescent="0.3">
      <c r="B73" s="131"/>
    </row>
    <row r="74" spans="2:2" ht="14.25" customHeight="1" x14ac:dyDescent="0.3">
      <c r="B74" s="131"/>
    </row>
    <row r="75" spans="2:2" ht="14.25" customHeight="1" x14ac:dyDescent="0.3">
      <c r="B75" s="131"/>
    </row>
    <row r="76" spans="2:2" ht="14.25" customHeight="1" x14ac:dyDescent="0.3">
      <c r="B76" s="131"/>
    </row>
    <row r="77" spans="2:2" ht="14.25" customHeight="1" x14ac:dyDescent="0.3">
      <c r="B77" s="131"/>
    </row>
    <row r="78" spans="2:2" ht="14.25" customHeight="1" x14ac:dyDescent="0.3">
      <c r="B78" s="131"/>
    </row>
    <row r="79" spans="2:2" ht="14.25" customHeight="1" x14ac:dyDescent="0.3">
      <c r="B79" s="131"/>
    </row>
    <row r="80" spans="2:2" ht="14.25" customHeight="1" x14ac:dyDescent="0.3">
      <c r="B80" s="131"/>
    </row>
    <row r="81" spans="2:2" ht="14.25" customHeight="1" x14ac:dyDescent="0.3">
      <c r="B81" s="131"/>
    </row>
    <row r="82" spans="2:2" ht="14.25" customHeight="1" x14ac:dyDescent="0.3">
      <c r="B82" s="131"/>
    </row>
    <row r="83" spans="2:2" ht="14.25" customHeight="1" x14ac:dyDescent="0.3">
      <c r="B83" s="131"/>
    </row>
    <row r="84" spans="2:2" ht="14.25" customHeight="1" x14ac:dyDescent="0.3">
      <c r="B84" s="131"/>
    </row>
    <row r="85" spans="2:2" ht="14.25" customHeight="1" x14ac:dyDescent="0.3">
      <c r="B85" s="131"/>
    </row>
    <row r="86" spans="2:2" ht="14.25" customHeight="1" x14ac:dyDescent="0.3">
      <c r="B86" s="131"/>
    </row>
    <row r="87" spans="2:2" ht="14.25" customHeight="1" x14ac:dyDescent="0.3">
      <c r="B87" s="131"/>
    </row>
    <row r="88" spans="2:2" ht="14.25" customHeight="1" x14ac:dyDescent="0.3">
      <c r="B88" s="131"/>
    </row>
    <row r="89" spans="2:2" ht="14.25" customHeight="1" x14ac:dyDescent="0.3">
      <c r="B89" s="131"/>
    </row>
    <row r="90" spans="2:2" ht="14.25" customHeight="1" x14ac:dyDescent="0.3">
      <c r="B90" s="131"/>
    </row>
    <row r="91" spans="2:2" ht="14.25" customHeight="1" x14ac:dyDescent="0.3">
      <c r="B91" s="131"/>
    </row>
    <row r="92" spans="2:2" ht="14.25" customHeight="1" x14ac:dyDescent="0.3">
      <c r="B92" s="131"/>
    </row>
    <row r="93" spans="2:2" ht="14.25" customHeight="1" x14ac:dyDescent="0.3">
      <c r="B93" s="131"/>
    </row>
    <row r="94" spans="2:2" ht="14.25" customHeight="1" x14ac:dyDescent="0.3">
      <c r="B94" s="131"/>
    </row>
    <row r="95" spans="2:2" ht="14.25" customHeight="1" x14ac:dyDescent="0.3">
      <c r="B95" s="131"/>
    </row>
    <row r="96" spans="2:2" ht="14.25" customHeight="1" x14ac:dyDescent="0.3">
      <c r="B96" s="131"/>
    </row>
    <row r="97" spans="2:2" ht="14.25" customHeight="1" x14ac:dyDescent="0.3">
      <c r="B97" s="131"/>
    </row>
    <row r="98" spans="2:2" ht="14.25" customHeight="1" x14ac:dyDescent="0.3">
      <c r="B98" s="131"/>
    </row>
    <row r="99" spans="2:2" ht="14.25" customHeight="1" x14ac:dyDescent="0.3">
      <c r="B99" s="131"/>
    </row>
    <row r="100" spans="2:2" ht="14.25" customHeight="1" x14ac:dyDescent="0.3">
      <c r="B100" s="131"/>
    </row>
    <row r="101" spans="2:2" ht="14.25" customHeight="1" x14ac:dyDescent="0.3">
      <c r="B101" s="131"/>
    </row>
    <row r="102" spans="2:2" ht="14.25" customHeight="1" x14ac:dyDescent="0.3">
      <c r="B102" s="131"/>
    </row>
    <row r="103" spans="2:2" ht="14.25" customHeight="1" x14ac:dyDescent="0.3">
      <c r="B103" s="131"/>
    </row>
    <row r="104" spans="2:2" ht="14.25" customHeight="1" x14ac:dyDescent="0.3">
      <c r="B104" s="131"/>
    </row>
    <row r="105" spans="2:2" ht="14.25" customHeight="1" x14ac:dyDescent="0.3">
      <c r="B105" s="131"/>
    </row>
    <row r="106" spans="2:2" ht="14.25" customHeight="1" x14ac:dyDescent="0.3">
      <c r="B106" s="131"/>
    </row>
    <row r="107" spans="2:2" ht="14.25" customHeight="1" x14ac:dyDescent="0.3">
      <c r="B107" s="131"/>
    </row>
    <row r="108" spans="2:2" ht="14.25" customHeight="1" x14ac:dyDescent="0.3">
      <c r="B108" s="131"/>
    </row>
    <row r="109" spans="2:2" ht="14.25" customHeight="1" x14ac:dyDescent="0.3">
      <c r="B109" s="131"/>
    </row>
    <row r="110" spans="2:2" ht="14.25" customHeight="1" x14ac:dyDescent="0.3">
      <c r="B110" s="131"/>
    </row>
    <row r="111" spans="2:2" ht="14.25" customHeight="1" x14ac:dyDescent="0.3">
      <c r="B111" s="131"/>
    </row>
    <row r="112" spans="2:2" ht="14.25" customHeight="1" x14ac:dyDescent="0.3">
      <c r="B112" s="131"/>
    </row>
    <row r="113" spans="2:2" ht="14.25" customHeight="1" x14ac:dyDescent="0.3">
      <c r="B113" s="131"/>
    </row>
    <row r="114" spans="2:2" ht="14.25" customHeight="1" x14ac:dyDescent="0.3">
      <c r="B114" s="131"/>
    </row>
    <row r="115" spans="2:2" ht="14.25" customHeight="1" x14ac:dyDescent="0.3">
      <c r="B115" s="131"/>
    </row>
    <row r="116" spans="2:2" ht="14.25" customHeight="1" x14ac:dyDescent="0.3">
      <c r="B116" s="131"/>
    </row>
    <row r="117" spans="2:2" ht="14.25" customHeight="1" x14ac:dyDescent="0.3">
      <c r="B117" s="131"/>
    </row>
    <row r="118" spans="2:2" ht="14.25" customHeight="1" x14ac:dyDescent="0.3">
      <c r="B118" s="131"/>
    </row>
    <row r="119" spans="2:2" ht="14.25" customHeight="1" x14ac:dyDescent="0.3">
      <c r="B119" s="131"/>
    </row>
    <row r="120" spans="2:2" ht="14.25" customHeight="1" x14ac:dyDescent="0.3">
      <c r="B120" s="131"/>
    </row>
    <row r="121" spans="2:2" ht="14.25" customHeight="1" x14ac:dyDescent="0.3">
      <c r="B121" s="131"/>
    </row>
    <row r="122" spans="2:2" ht="14.25" customHeight="1" x14ac:dyDescent="0.3">
      <c r="B122" s="131"/>
    </row>
    <row r="123" spans="2:2" ht="14.25" customHeight="1" x14ac:dyDescent="0.3">
      <c r="B123" s="131"/>
    </row>
    <row r="124" spans="2:2" ht="14.25" customHeight="1" x14ac:dyDescent="0.3">
      <c r="B124" s="131"/>
    </row>
    <row r="125" spans="2:2" ht="14.25" customHeight="1" x14ac:dyDescent="0.3">
      <c r="B125" s="131"/>
    </row>
    <row r="126" spans="2:2" ht="14.25" customHeight="1" x14ac:dyDescent="0.3">
      <c r="B126" s="131"/>
    </row>
    <row r="127" spans="2:2" ht="14.25" customHeight="1" x14ac:dyDescent="0.3">
      <c r="B127" s="131"/>
    </row>
    <row r="128" spans="2:2" ht="14.25" customHeight="1" x14ac:dyDescent="0.3">
      <c r="B128" s="131"/>
    </row>
    <row r="129" spans="2:2" ht="14.25" customHeight="1" x14ac:dyDescent="0.3">
      <c r="B129" s="131"/>
    </row>
    <row r="130" spans="2:2" ht="14.25" customHeight="1" x14ac:dyDescent="0.3">
      <c r="B130" s="131"/>
    </row>
    <row r="131" spans="2:2" ht="14.25" customHeight="1" x14ac:dyDescent="0.3">
      <c r="B131" s="131"/>
    </row>
    <row r="132" spans="2:2" ht="14.25" customHeight="1" x14ac:dyDescent="0.3">
      <c r="B132" s="131"/>
    </row>
    <row r="133" spans="2:2" ht="14.25" customHeight="1" x14ac:dyDescent="0.3">
      <c r="B133" s="131"/>
    </row>
    <row r="134" spans="2:2" ht="14.25" customHeight="1" x14ac:dyDescent="0.3">
      <c r="B134" s="131"/>
    </row>
    <row r="135" spans="2:2" ht="14.25" customHeight="1" x14ac:dyDescent="0.3">
      <c r="B135" s="131"/>
    </row>
    <row r="136" spans="2:2" ht="14.25" customHeight="1" x14ac:dyDescent="0.3">
      <c r="B136" s="131"/>
    </row>
    <row r="137" spans="2:2" ht="14.25" customHeight="1" x14ac:dyDescent="0.3">
      <c r="B137" s="131"/>
    </row>
    <row r="138" spans="2:2" ht="14.25" customHeight="1" x14ac:dyDescent="0.3">
      <c r="B138" s="131"/>
    </row>
    <row r="139" spans="2:2" ht="14.25" customHeight="1" x14ac:dyDescent="0.3">
      <c r="B139" s="131"/>
    </row>
    <row r="140" spans="2:2" ht="14.25" customHeight="1" x14ac:dyDescent="0.3">
      <c r="B140" s="131"/>
    </row>
    <row r="141" spans="2:2" ht="14.25" customHeight="1" x14ac:dyDescent="0.3">
      <c r="B141" s="131"/>
    </row>
    <row r="142" spans="2:2" ht="14.25" customHeight="1" x14ac:dyDescent="0.3">
      <c r="B142" s="131"/>
    </row>
    <row r="143" spans="2:2" ht="14.25" customHeight="1" x14ac:dyDescent="0.3">
      <c r="B143" s="131"/>
    </row>
    <row r="144" spans="2:2" ht="14.25" customHeight="1" x14ac:dyDescent="0.3">
      <c r="B144" s="131"/>
    </row>
    <row r="145" spans="2:2" ht="14.25" customHeight="1" x14ac:dyDescent="0.3">
      <c r="B145" s="131"/>
    </row>
    <row r="146" spans="2:2" ht="14.25" customHeight="1" x14ac:dyDescent="0.3">
      <c r="B146" s="131"/>
    </row>
    <row r="147" spans="2:2" ht="14.25" customHeight="1" x14ac:dyDescent="0.3">
      <c r="B147" s="131"/>
    </row>
    <row r="148" spans="2:2" ht="14.25" customHeight="1" x14ac:dyDescent="0.3">
      <c r="B148" s="131"/>
    </row>
    <row r="149" spans="2:2" ht="14.25" customHeight="1" x14ac:dyDescent="0.3">
      <c r="B149" s="131"/>
    </row>
    <row r="150" spans="2:2" ht="14.25" customHeight="1" x14ac:dyDescent="0.3">
      <c r="B150" s="131"/>
    </row>
    <row r="151" spans="2:2" ht="14.25" customHeight="1" x14ac:dyDescent="0.3">
      <c r="B151" s="131"/>
    </row>
    <row r="152" spans="2:2" ht="14.25" customHeight="1" x14ac:dyDescent="0.3">
      <c r="B152" s="131"/>
    </row>
    <row r="153" spans="2:2" ht="14.25" customHeight="1" x14ac:dyDescent="0.3">
      <c r="B153" s="131"/>
    </row>
    <row r="154" spans="2:2" ht="14.25" customHeight="1" x14ac:dyDescent="0.3">
      <c r="B154" s="131"/>
    </row>
    <row r="155" spans="2:2" ht="14.25" customHeight="1" x14ac:dyDescent="0.3">
      <c r="B155" s="131"/>
    </row>
    <row r="156" spans="2:2" ht="14.25" customHeight="1" x14ac:dyDescent="0.3">
      <c r="B156" s="131"/>
    </row>
    <row r="157" spans="2:2" ht="14.25" customHeight="1" x14ac:dyDescent="0.3">
      <c r="B157" s="131"/>
    </row>
    <row r="158" spans="2:2" ht="14.25" customHeight="1" x14ac:dyDescent="0.3">
      <c r="B158" s="131"/>
    </row>
    <row r="159" spans="2:2" ht="14.25" customHeight="1" x14ac:dyDescent="0.3">
      <c r="B159" s="131"/>
    </row>
    <row r="160" spans="2:2" ht="14.25" customHeight="1" x14ac:dyDescent="0.3">
      <c r="B160" s="131"/>
    </row>
    <row r="161" spans="2:2" ht="14.25" customHeight="1" x14ac:dyDescent="0.3">
      <c r="B161" s="131"/>
    </row>
    <row r="162" spans="2:2" ht="14.25" customHeight="1" x14ac:dyDescent="0.3">
      <c r="B162" s="131"/>
    </row>
    <row r="163" spans="2:2" ht="14.25" customHeight="1" x14ac:dyDescent="0.3">
      <c r="B163" s="131"/>
    </row>
    <row r="164" spans="2:2" ht="14.25" customHeight="1" x14ac:dyDescent="0.3">
      <c r="B164" s="131"/>
    </row>
    <row r="165" spans="2:2" ht="14.25" customHeight="1" x14ac:dyDescent="0.3">
      <c r="B165" s="131"/>
    </row>
    <row r="166" spans="2:2" ht="14.25" customHeight="1" x14ac:dyDescent="0.3">
      <c r="B166" s="131"/>
    </row>
    <row r="167" spans="2:2" ht="14.25" customHeight="1" x14ac:dyDescent="0.3">
      <c r="B167" s="131"/>
    </row>
    <row r="168" spans="2:2" ht="14.25" customHeight="1" x14ac:dyDescent="0.3">
      <c r="B168" s="131"/>
    </row>
    <row r="169" spans="2:2" ht="14.25" customHeight="1" x14ac:dyDescent="0.3">
      <c r="B169" s="131"/>
    </row>
    <row r="170" spans="2:2" ht="14.25" customHeight="1" x14ac:dyDescent="0.3">
      <c r="B170" s="131"/>
    </row>
    <row r="171" spans="2:2" ht="14.25" customHeight="1" x14ac:dyDescent="0.3">
      <c r="B171" s="131"/>
    </row>
    <row r="172" spans="2:2" ht="14.25" customHeight="1" x14ac:dyDescent="0.3">
      <c r="B172" s="131"/>
    </row>
    <row r="173" spans="2:2" ht="14.25" customHeight="1" x14ac:dyDescent="0.3">
      <c r="B173" s="131"/>
    </row>
    <row r="174" spans="2:2" ht="14.25" customHeight="1" x14ac:dyDescent="0.3">
      <c r="B174" s="131"/>
    </row>
    <row r="175" spans="2:2" ht="14.25" customHeight="1" x14ac:dyDescent="0.3">
      <c r="B175" s="131"/>
    </row>
    <row r="176" spans="2:2" ht="14.25" customHeight="1" x14ac:dyDescent="0.3">
      <c r="B176" s="131"/>
    </row>
    <row r="177" spans="2:2" ht="14.25" customHeight="1" x14ac:dyDescent="0.3">
      <c r="B177" s="131"/>
    </row>
    <row r="178" spans="2:2" ht="14.25" customHeight="1" x14ac:dyDescent="0.3">
      <c r="B178" s="131"/>
    </row>
    <row r="179" spans="2:2" ht="14.25" customHeight="1" x14ac:dyDescent="0.3">
      <c r="B179" s="131"/>
    </row>
    <row r="180" spans="2:2" ht="14.25" customHeight="1" x14ac:dyDescent="0.3">
      <c r="B180" s="131"/>
    </row>
    <row r="181" spans="2:2" ht="14.25" customHeight="1" x14ac:dyDescent="0.3">
      <c r="B181" s="131"/>
    </row>
    <row r="182" spans="2:2" ht="14.25" customHeight="1" x14ac:dyDescent="0.3">
      <c r="B182" s="131"/>
    </row>
    <row r="183" spans="2:2" ht="14.25" customHeight="1" x14ac:dyDescent="0.3">
      <c r="B183" s="131"/>
    </row>
    <row r="184" spans="2:2" ht="14.25" customHeight="1" x14ac:dyDescent="0.3">
      <c r="B184" s="131"/>
    </row>
    <row r="185" spans="2:2" ht="14.25" customHeight="1" x14ac:dyDescent="0.3">
      <c r="B185" s="131"/>
    </row>
    <row r="186" spans="2:2" ht="14.25" customHeight="1" x14ac:dyDescent="0.3">
      <c r="B186" s="131"/>
    </row>
    <row r="187" spans="2:2" ht="14.25" customHeight="1" x14ac:dyDescent="0.3">
      <c r="B187" s="131"/>
    </row>
    <row r="188" spans="2:2" ht="14.25" customHeight="1" x14ac:dyDescent="0.3">
      <c r="B188" s="131"/>
    </row>
    <row r="189" spans="2:2" ht="14.25" customHeight="1" x14ac:dyDescent="0.3">
      <c r="B189" s="131"/>
    </row>
    <row r="190" spans="2:2" ht="14.25" customHeight="1" x14ac:dyDescent="0.3">
      <c r="B190" s="131"/>
    </row>
    <row r="191" spans="2:2" ht="14.25" customHeight="1" x14ac:dyDescent="0.3">
      <c r="B191" s="131"/>
    </row>
    <row r="192" spans="2:2" ht="14.25" customHeight="1" x14ac:dyDescent="0.3">
      <c r="B192" s="131"/>
    </row>
    <row r="193" spans="2:2" ht="14.25" customHeight="1" x14ac:dyDescent="0.3">
      <c r="B193" s="131"/>
    </row>
    <row r="194" spans="2:2" ht="14.25" customHeight="1" x14ac:dyDescent="0.3">
      <c r="B194" s="131"/>
    </row>
    <row r="195" spans="2:2" ht="14.25" customHeight="1" x14ac:dyDescent="0.3">
      <c r="B195" s="131"/>
    </row>
    <row r="196" spans="2:2" ht="14.25" customHeight="1" x14ac:dyDescent="0.3">
      <c r="B196" s="131"/>
    </row>
    <row r="197" spans="2:2" ht="14.25" customHeight="1" x14ac:dyDescent="0.3">
      <c r="B197" s="131"/>
    </row>
    <row r="198" spans="2:2" ht="14.25" customHeight="1" x14ac:dyDescent="0.3">
      <c r="B198" s="131"/>
    </row>
    <row r="199" spans="2:2" ht="14.25" customHeight="1" x14ac:dyDescent="0.3">
      <c r="B199" s="131"/>
    </row>
    <row r="200" spans="2:2" ht="14.25" customHeight="1" x14ac:dyDescent="0.3">
      <c r="B200" s="131"/>
    </row>
    <row r="201" spans="2:2" ht="14.25" customHeight="1" x14ac:dyDescent="0.3">
      <c r="B201" s="131"/>
    </row>
    <row r="202" spans="2:2" ht="14.25" customHeight="1" x14ac:dyDescent="0.3">
      <c r="B202" s="131"/>
    </row>
    <row r="203" spans="2:2" ht="14.25" customHeight="1" x14ac:dyDescent="0.3">
      <c r="B203" s="131"/>
    </row>
    <row r="204" spans="2:2" ht="14.25" customHeight="1" x14ac:dyDescent="0.3">
      <c r="B204" s="131"/>
    </row>
    <row r="205" spans="2:2" ht="14.25" customHeight="1" x14ac:dyDescent="0.3">
      <c r="B205" s="131"/>
    </row>
    <row r="206" spans="2:2" ht="14.25" customHeight="1" x14ac:dyDescent="0.3">
      <c r="B206" s="131"/>
    </row>
    <row r="207" spans="2:2" ht="14.25" customHeight="1" x14ac:dyDescent="0.3">
      <c r="B207" s="131"/>
    </row>
    <row r="208" spans="2:2" ht="14.25" customHeight="1" x14ac:dyDescent="0.3">
      <c r="B208" s="131"/>
    </row>
    <row r="209" spans="2:2" ht="14.25" customHeight="1" x14ac:dyDescent="0.3">
      <c r="B209" s="131"/>
    </row>
    <row r="210" spans="2:2" ht="14.25" customHeight="1" x14ac:dyDescent="0.3">
      <c r="B210" s="131"/>
    </row>
    <row r="211" spans="2:2" ht="14.25" customHeight="1" x14ac:dyDescent="0.3">
      <c r="B211" s="131"/>
    </row>
    <row r="212" spans="2:2" ht="14.25" customHeight="1" x14ac:dyDescent="0.3">
      <c r="B212" s="131"/>
    </row>
    <row r="213" spans="2:2" ht="14.25" customHeight="1" x14ac:dyDescent="0.3">
      <c r="B213" s="131"/>
    </row>
    <row r="214" spans="2:2" ht="14.25" customHeight="1" x14ac:dyDescent="0.3">
      <c r="B214" s="131"/>
    </row>
    <row r="215" spans="2:2" ht="14.25" customHeight="1" x14ac:dyDescent="0.3">
      <c r="B215" s="131"/>
    </row>
    <row r="216" spans="2:2" ht="14.25" customHeight="1" x14ac:dyDescent="0.3">
      <c r="B216" s="131"/>
    </row>
    <row r="217" spans="2:2" ht="14.25" customHeight="1" x14ac:dyDescent="0.3">
      <c r="B217" s="131"/>
    </row>
    <row r="218" spans="2:2" ht="14.25" customHeight="1" x14ac:dyDescent="0.3">
      <c r="B218" s="131"/>
    </row>
    <row r="219" spans="2:2" ht="14.25" customHeight="1" x14ac:dyDescent="0.3">
      <c r="B219" s="131"/>
    </row>
    <row r="220" spans="2:2" ht="14.25" customHeight="1" x14ac:dyDescent="0.3">
      <c r="B220" s="131"/>
    </row>
    <row r="221" spans="2:2" ht="14.25" customHeight="1" x14ac:dyDescent="0.3">
      <c r="B221" s="131"/>
    </row>
    <row r="222" spans="2:2" ht="14.25" customHeight="1" x14ac:dyDescent="0.3">
      <c r="B222" s="131"/>
    </row>
    <row r="223" spans="2:2" ht="14.25" customHeight="1" x14ac:dyDescent="0.3">
      <c r="B223" s="131"/>
    </row>
    <row r="224" spans="2:2" ht="14.25" customHeight="1" x14ac:dyDescent="0.3">
      <c r="B224" s="131"/>
    </row>
    <row r="225" spans="2:2" ht="14.25" customHeight="1" x14ac:dyDescent="0.3">
      <c r="B225" s="131"/>
    </row>
    <row r="226" spans="2:2" ht="14.25" customHeight="1" x14ac:dyDescent="0.3">
      <c r="B226" s="131"/>
    </row>
    <row r="227" spans="2:2" ht="14.25" customHeight="1" x14ac:dyDescent="0.3">
      <c r="B227" s="131"/>
    </row>
    <row r="228" spans="2:2" ht="14.25" customHeight="1" x14ac:dyDescent="0.3">
      <c r="B228" s="131"/>
    </row>
    <row r="229" spans="2:2" ht="14.25" customHeight="1" x14ac:dyDescent="0.3">
      <c r="B229" s="131"/>
    </row>
    <row r="230" spans="2:2" ht="14.25" customHeight="1" x14ac:dyDescent="0.3">
      <c r="B230" s="131"/>
    </row>
    <row r="231" spans="2:2" ht="14.25" customHeight="1" x14ac:dyDescent="0.3">
      <c r="B231" s="131"/>
    </row>
    <row r="232" spans="2:2" ht="14.25" customHeight="1" x14ac:dyDescent="0.3">
      <c r="B232" s="131"/>
    </row>
    <row r="233" spans="2:2" ht="14.25" customHeight="1" x14ac:dyDescent="0.3">
      <c r="B233" s="131"/>
    </row>
    <row r="234" spans="2:2" ht="14.25" customHeight="1" x14ac:dyDescent="0.3">
      <c r="B234" s="131"/>
    </row>
    <row r="235" spans="2:2" ht="14.25" customHeight="1" x14ac:dyDescent="0.3">
      <c r="B235" s="131"/>
    </row>
    <row r="236" spans="2:2" ht="14.25" customHeight="1" x14ac:dyDescent="0.3">
      <c r="B236" s="131"/>
    </row>
    <row r="237" spans="2:2" ht="14.25" customHeight="1" x14ac:dyDescent="0.3">
      <c r="B237" s="131"/>
    </row>
    <row r="238" spans="2:2" ht="14.25" customHeight="1" x14ac:dyDescent="0.3">
      <c r="B238" s="131"/>
    </row>
    <row r="239" spans="2:2" ht="14.25" customHeight="1" x14ac:dyDescent="0.3">
      <c r="B239" s="131"/>
    </row>
    <row r="240" spans="2:2" ht="14.25" customHeight="1" x14ac:dyDescent="0.3">
      <c r="B240" s="131"/>
    </row>
    <row r="241" spans="2:2" ht="14.25" customHeight="1" x14ac:dyDescent="0.3">
      <c r="B241" s="131"/>
    </row>
    <row r="242" spans="2:2" ht="14.25" customHeight="1" x14ac:dyDescent="0.3">
      <c r="B242" s="131"/>
    </row>
    <row r="243" spans="2:2" ht="14.25" customHeight="1" x14ac:dyDescent="0.3">
      <c r="B243" s="131"/>
    </row>
    <row r="244" spans="2:2" ht="14.25" customHeight="1" x14ac:dyDescent="0.3">
      <c r="B244" s="131"/>
    </row>
    <row r="245" spans="2:2" ht="14.25" customHeight="1" x14ac:dyDescent="0.3">
      <c r="B245" s="131"/>
    </row>
    <row r="246" spans="2:2" ht="14.25" customHeight="1" x14ac:dyDescent="0.3">
      <c r="B246" s="131"/>
    </row>
    <row r="247" spans="2:2" ht="14.25" customHeight="1" x14ac:dyDescent="0.3">
      <c r="B247" s="131"/>
    </row>
    <row r="248" spans="2:2" ht="14.25" customHeight="1" x14ac:dyDescent="0.3">
      <c r="B248" s="131"/>
    </row>
    <row r="249" spans="2:2" ht="14.25" customHeight="1" x14ac:dyDescent="0.3">
      <c r="B249" s="131"/>
    </row>
    <row r="250" spans="2:2" ht="14.25" customHeight="1" x14ac:dyDescent="0.3">
      <c r="B250" s="131"/>
    </row>
    <row r="251" spans="2:2" ht="14.25" customHeight="1" x14ac:dyDescent="0.3">
      <c r="B251" s="131"/>
    </row>
    <row r="252" spans="2:2" ht="14.25" customHeight="1" x14ac:dyDescent="0.3">
      <c r="B252" s="131"/>
    </row>
    <row r="253" spans="2:2" ht="14.25" customHeight="1" x14ac:dyDescent="0.3">
      <c r="B253" s="131"/>
    </row>
    <row r="254" spans="2:2" ht="14.25" customHeight="1" x14ac:dyDescent="0.3">
      <c r="B254" s="131"/>
    </row>
    <row r="255" spans="2:2" ht="14.25" customHeight="1" x14ac:dyDescent="0.3">
      <c r="B255" s="131"/>
    </row>
    <row r="256" spans="2:2" ht="14.25" customHeight="1" x14ac:dyDescent="0.3">
      <c r="B256" s="131"/>
    </row>
    <row r="257" spans="2:2" ht="14.25" customHeight="1" x14ac:dyDescent="0.3">
      <c r="B257" s="131"/>
    </row>
    <row r="258" spans="2:2" ht="14.25" customHeight="1" x14ac:dyDescent="0.3">
      <c r="B258" s="131"/>
    </row>
    <row r="259" spans="2:2" ht="14.25" customHeight="1" x14ac:dyDescent="0.3">
      <c r="B259" s="131"/>
    </row>
    <row r="260" spans="2:2" ht="14.25" customHeight="1" x14ac:dyDescent="0.3">
      <c r="B260" s="131"/>
    </row>
    <row r="261" spans="2:2" ht="14.25" customHeight="1" x14ac:dyDescent="0.3">
      <c r="B261" s="131"/>
    </row>
    <row r="262" spans="2:2" ht="14.25" customHeight="1" x14ac:dyDescent="0.3">
      <c r="B262" s="131"/>
    </row>
    <row r="263" spans="2:2" ht="14.25" customHeight="1" x14ac:dyDescent="0.3">
      <c r="B263" s="131"/>
    </row>
    <row r="264" spans="2:2" ht="14.25" customHeight="1" x14ac:dyDescent="0.3">
      <c r="B264" s="131"/>
    </row>
    <row r="265" spans="2:2" ht="14.25" customHeight="1" x14ac:dyDescent="0.3">
      <c r="B265" s="131"/>
    </row>
    <row r="266" spans="2:2" ht="14.25" customHeight="1" x14ac:dyDescent="0.3">
      <c r="B266" s="131"/>
    </row>
    <row r="267" spans="2:2" ht="14.25" customHeight="1" x14ac:dyDescent="0.3">
      <c r="B267" s="131"/>
    </row>
    <row r="268" spans="2:2" ht="14.25" customHeight="1" x14ac:dyDescent="0.3">
      <c r="B268" s="131"/>
    </row>
    <row r="269" spans="2:2" ht="14.25" customHeight="1" x14ac:dyDescent="0.3">
      <c r="B269" s="131"/>
    </row>
    <row r="270" spans="2:2" ht="14.25" customHeight="1" x14ac:dyDescent="0.3">
      <c r="B270" s="131"/>
    </row>
    <row r="271" spans="2:2" ht="14.25" customHeight="1" x14ac:dyDescent="0.3">
      <c r="B271" s="131"/>
    </row>
    <row r="272" spans="2:2" ht="14.25" customHeight="1" x14ac:dyDescent="0.3">
      <c r="B272" s="131"/>
    </row>
    <row r="273" spans="2:2" ht="14.25" customHeight="1" x14ac:dyDescent="0.3">
      <c r="B273" s="131"/>
    </row>
    <row r="274" spans="2:2" ht="14.25" customHeight="1" x14ac:dyDescent="0.3">
      <c r="B274" s="131"/>
    </row>
    <row r="275" spans="2:2" ht="14.25" customHeight="1" x14ac:dyDescent="0.3">
      <c r="B275" s="131"/>
    </row>
    <row r="276" spans="2:2" ht="14.25" customHeight="1" x14ac:dyDescent="0.3">
      <c r="B276" s="131"/>
    </row>
    <row r="277" spans="2:2" ht="14.25" customHeight="1" x14ac:dyDescent="0.3">
      <c r="B277" s="131"/>
    </row>
    <row r="278" spans="2:2" ht="14.25" customHeight="1" x14ac:dyDescent="0.3">
      <c r="B278" s="131"/>
    </row>
    <row r="279" spans="2:2" ht="14.25" customHeight="1" x14ac:dyDescent="0.3">
      <c r="B279" s="131"/>
    </row>
    <row r="280" spans="2:2" ht="14.25" customHeight="1" x14ac:dyDescent="0.3">
      <c r="B280" s="131"/>
    </row>
    <row r="281" spans="2:2" ht="14.25" customHeight="1" x14ac:dyDescent="0.3">
      <c r="B281" s="131"/>
    </row>
    <row r="282" spans="2:2" ht="14.25" customHeight="1" x14ac:dyDescent="0.3">
      <c r="B282" s="131"/>
    </row>
    <row r="283" spans="2:2" ht="14.25" customHeight="1" x14ac:dyDescent="0.3">
      <c r="B283" s="131"/>
    </row>
    <row r="284" spans="2:2" ht="14.25" customHeight="1" x14ac:dyDescent="0.3">
      <c r="B284" s="131"/>
    </row>
    <row r="285" spans="2:2" ht="14.25" customHeight="1" x14ac:dyDescent="0.3">
      <c r="B285" s="131"/>
    </row>
    <row r="286" spans="2:2" ht="14.25" customHeight="1" x14ac:dyDescent="0.3">
      <c r="B286" s="131"/>
    </row>
    <row r="287" spans="2:2" ht="14.25" customHeight="1" x14ac:dyDescent="0.3">
      <c r="B287" s="131"/>
    </row>
    <row r="288" spans="2:2" ht="14.25" customHeight="1" x14ac:dyDescent="0.3">
      <c r="B288" s="131"/>
    </row>
    <row r="289" spans="2:2" ht="14.25" customHeight="1" x14ac:dyDescent="0.3">
      <c r="B289" s="131"/>
    </row>
    <row r="290" spans="2:2" ht="14.25" customHeight="1" x14ac:dyDescent="0.3">
      <c r="B290" s="131"/>
    </row>
    <row r="291" spans="2:2" ht="14.25" customHeight="1" x14ac:dyDescent="0.3">
      <c r="B291" s="131"/>
    </row>
    <row r="292" spans="2:2" ht="14.25" customHeight="1" x14ac:dyDescent="0.3">
      <c r="B292" s="131"/>
    </row>
    <row r="293" spans="2:2" ht="14.25" customHeight="1" x14ac:dyDescent="0.3">
      <c r="B293" s="131"/>
    </row>
    <row r="294" spans="2:2" ht="14.25" customHeight="1" x14ac:dyDescent="0.3">
      <c r="B294" s="131"/>
    </row>
    <row r="295" spans="2:2" ht="14.25" customHeight="1" x14ac:dyDescent="0.3">
      <c r="B295" s="131"/>
    </row>
    <row r="296" spans="2:2" ht="14.25" customHeight="1" x14ac:dyDescent="0.3">
      <c r="B296" s="131"/>
    </row>
    <row r="297" spans="2:2" ht="14.25" customHeight="1" x14ac:dyDescent="0.3">
      <c r="B297" s="131"/>
    </row>
    <row r="298" spans="2:2" ht="14.25" customHeight="1" x14ac:dyDescent="0.3">
      <c r="B298" s="131"/>
    </row>
    <row r="299" spans="2:2" ht="14.25" customHeight="1" x14ac:dyDescent="0.3">
      <c r="B299" s="131"/>
    </row>
    <row r="300" spans="2:2" ht="14.25" customHeight="1" x14ac:dyDescent="0.3">
      <c r="B300" s="131"/>
    </row>
    <row r="301" spans="2:2" ht="14.25" customHeight="1" x14ac:dyDescent="0.3">
      <c r="B301" s="131"/>
    </row>
    <row r="302" spans="2:2" ht="14.25" customHeight="1" x14ac:dyDescent="0.3">
      <c r="B302" s="131"/>
    </row>
    <row r="303" spans="2:2" ht="14.25" customHeight="1" x14ac:dyDescent="0.3">
      <c r="B303" s="131"/>
    </row>
    <row r="304" spans="2:2" ht="14.25" customHeight="1" x14ac:dyDescent="0.3">
      <c r="B304" s="131"/>
    </row>
    <row r="305" spans="2:2" ht="14.25" customHeight="1" x14ac:dyDescent="0.3">
      <c r="B305" s="131"/>
    </row>
    <row r="306" spans="2:2" ht="14.25" customHeight="1" x14ac:dyDescent="0.3">
      <c r="B306" s="131"/>
    </row>
    <row r="307" spans="2:2" ht="14.25" customHeight="1" x14ac:dyDescent="0.3">
      <c r="B307" s="131"/>
    </row>
    <row r="308" spans="2:2" ht="14.25" customHeight="1" x14ac:dyDescent="0.3">
      <c r="B308" s="131"/>
    </row>
    <row r="309" spans="2:2" ht="14.25" customHeight="1" x14ac:dyDescent="0.3">
      <c r="B309" s="131"/>
    </row>
    <row r="310" spans="2:2" ht="14.25" customHeight="1" x14ac:dyDescent="0.3">
      <c r="B310" s="131"/>
    </row>
    <row r="311" spans="2:2" ht="14.25" customHeight="1" x14ac:dyDescent="0.3">
      <c r="B311" s="131"/>
    </row>
    <row r="312" spans="2:2" ht="14.25" customHeight="1" x14ac:dyDescent="0.3">
      <c r="B312" s="131"/>
    </row>
    <row r="313" spans="2:2" ht="14.25" customHeight="1" x14ac:dyDescent="0.3">
      <c r="B313" s="131"/>
    </row>
    <row r="314" spans="2:2" ht="14.25" customHeight="1" x14ac:dyDescent="0.3">
      <c r="B314" s="131"/>
    </row>
    <row r="315" spans="2:2" ht="14.25" customHeight="1" x14ac:dyDescent="0.3">
      <c r="B315" s="131"/>
    </row>
    <row r="316" spans="2:2" ht="14.25" customHeight="1" x14ac:dyDescent="0.3">
      <c r="B316" s="131"/>
    </row>
    <row r="317" spans="2:2" ht="14.25" customHeight="1" x14ac:dyDescent="0.3">
      <c r="B317" s="131"/>
    </row>
    <row r="318" spans="2:2" ht="14.25" customHeight="1" x14ac:dyDescent="0.3">
      <c r="B318" s="131"/>
    </row>
    <row r="319" spans="2:2" ht="14.25" customHeight="1" x14ac:dyDescent="0.3">
      <c r="B319" s="131"/>
    </row>
    <row r="320" spans="2:2" ht="14.25" customHeight="1" x14ac:dyDescent="0.3">
      <c r="B320" s="131"/>
    </row>
    <row r="321" spans="2:2" ht="14.25" customHeight="1" x14ac:dyDescent="0.3">
      <c r="B321" s="131"/>
    </row>
    <row r="322" spans="2:2" ht="14.25" customHeight="1" x14ac:dyDescent="0.3">
      <c r="B322" s="131"/>
    </row>
    <row r="323" spans="2:2" ht="14.25" customHeight="1" x14ac:dyDescent="0.3">
      <c r="B323" s="131"/>
    </row>
    <row r="324" spans="2:2" ht="14.25" customHeight="1" x14ac:dyDescent="0.3">
      <c r="B324" s="131"/>
    </row>
    <row r="325" spans="2:2" ht="14.25" customHeight="1" x14ac:dyDescent="0.3">
      <c r="B325" s="131"/>
    </row>
    <row r="326" spans="2:2" ht="14.25" customHeight="1" x14ac:dyDescent="0.3">
      <c r="B326" s="131"/>
    </row>
    <row r="327" spans="2:2" ht="14.25" customHeight="1" x14ac:dyDescent="0.3">
      <c r="B327" s="131"/>
    </row>
    <row r="328" spans="2:2" ht="14.25" customHeight="1" x14ac:dyDescent="0.3">
      <c r="B328" s="131"/>
    </row>
    <row r="329" spans="2:2" ht="14.25" customHeight="1" x14ac:dyDescent="0.3">
      <c r="B329" s="131"/>
    </row>
    <row r="330" spans="2:2" ht="14.25" customHeight="1" x14ac:dyDescent="0.3">
      <c r="B330" s="131"/>
    </row>
    <row r="331" spans="2:2" ht="14.25" customHeight="1" x14ac:dyDescent="0.3">
      <c r="B331" s="131"/>
    </row>
    <row r="332" spans="2:2" ht="14.25" customHeight="1" x14ac:dyDescent="0.3">
      <c r="B332" s="131"/>
    </row>
    <row r="333" spans="2:2" ht="14.25" customHeight="1" x14ac:dyDescent="0.3">
      <c r="B333" s="131"/>
    </row>
    <row r="334" spans="2:2" ht="14.25" customHeight="1" x14ac:dyDescent="0.3">
      <c r="B334" s="131"/>
    </row>
    <row r="335" spans="2:2" ht="14.25" customHeight="1" x14ac:dyDescent="0.3">
      <c r="B335" s="131"/>
    </row>
    <row r="336" spans="2:2" ht="14.25" customHeight="1" x14ac:dyDescent="0.3">
      <c r="B336" s="131"/>
    </row>
    <row r="337" spans="2:2" ht="14.25" customHeight="1" x14ac:dyDescent="0.3">
      <c r="B337" s="131"/>
    </row>
    <row r="338" spans="2:2" ht="14.25" customHeight="1" x14ac:dyDescent="0.3">
      <c r="B338" s="131"/>
    </row>
    <row r="339" spans="2:2" ht="14.25" customHeight="1" x14ac:dyDescent="0.3">
      <c r="B339" s="131"/>
    </row>
    <row r="340" spans="2:2" ht="14.25" customHeight="1" x14ac:dyDescent="0.3">
      <c r="B340" s="131"/>
    </row>
    <row r="341" spans="2:2" ht="14.25" customHeight="1" x14ac:dyDescent="0.3">
      <c r="B341" s="131"/>
    </row>
    <row r="342" spans="2:2" ht="14.25" customHeight="1" x14ac:dyDescent="0.3">
      <c r="B342" s="131"/>
    </row>
    <row r="343" spans="2:2" ht="14.25" customHeight="1" x14ac:dyDescent="0.3">
      <c r="B343" s="131"/>
    </row>
    <row r="344" spans="2:2" ht="14.25" customHeight="1" x14ac:dyDescent="0.3">
      <c r="B344" s="131"/>
    </row>
    <row r="345" spans="2:2" ht="14.25" customHeight="1" x14ac:dyDescent="0.3">
      <c r="B345" s="131"/>
    </row>
    <row r="346" spans="2:2" ht="14.25" customHeight="1" x14ac:dyDescent="0.3">
      <c r="B346" s="131"/>
    </row>
    <row r="347" spans="2:2" ht="14.25" customHeight="1" x14ac:dyDescent="0.3">
      <c r="B347" s="131"/>
    </row>
    <row r="348" spans="2:2" ht="14.25" customHeight="1" x14ac:dyDescent="0.3">
      <c r="B348" s="131"/>
    </row>
    <row r="349" spans="2:2" ht="14.25" customHeight="1" x14ac:dyDescent="0.3">
      <c r="B349" s="131"/>
    </row>
    <row r="350" spans="2:2" ht="14.25" customHeight="1" x14ac:dyDescent="0.3">
      <c r="B350" s="131"/>
    </row>
    <row r="351" spans="2:2" ht="14.25" customHeight="1" x14ac:dyDescent="0.3">
      <c r="B351" s="131"/>
    </row>
    <row r="352" spans="2:2" ht="14.25" customHeight="1" x14ac:dyDescent="0.3">
      <c r="B352" s="131"/>
    </row>
    <row r="353" spans="2:2" ht="14.25" customHeight="1" x14ac:dyDescent="0.3">
      <c r="B353" s="131"/>
    </row>
    <row r="354" spans="2:2" ht="14.25" customHeight="1" x14ac:dyDescent="0.3">
      <c r="B354" s="131"/>
    </row>
    <row r="355" spans="2:2" ht="14.25" customHeight="1" x14ac:dyDescent="0.3">
      <c r="B355" s="131"/>
    </row>
    <row r="356" spans="2:2" ht="14.25" customHeight="1" x14ac:dyDescent="0.3">
      <c r="B356" s="131"/>
    </row>
    <row r="357" spans="2:2" ht="14.25" customHeight="1" x14ac:dyDescent="0.3">
      <c r="B357" s="131"/>
    </row>
    <row r="358" spans="2:2" ht="14.25" customHeight="1" x14ac:dyDescent="0.3">
      <c r="B358" s="131"/>
    </row>
    <row r="359" spans="2:2" ht="14.25" customHeight="1" x14ac:dyDescent="0.3">
      <c r="B359" s="131"/>
    </row>
    <row r="360" spans="2:2" ht="14.25" customHeight="1" x14ac:dyDescent="0.3">
      <c r="B360" s="131"/>
    </row>
    <row r="361" spans="2:2" ht="14.25" customHeight="1" x14ac:dyDescent="0.3">
      <c r="B361" s="131"/>
    </row>
    <row r="362" spans="2:2" ht="14.25" customHeight="1" x14ac:dyDescent="0.3">
      <c r="B362" s="131"/>
    </row>
    <row r="363" spans="2:2" ht="14.25" customHeight="1" x14ac:dyDescent="0.3">
      <c r="B363" s="131"/>
    </row>
    <row r="364" spans="2:2" ht="14.25" customHeight="1" x14ac:dyDescent="0.3">
      <c r="B364" s="131"/>
    </row>
    <row r="365" spans="2:2" ht="14.25" customHeight="1" x14ac:dyDescent="0.3">
      <c r="B365" s="131"/>
    </row>
    <row r="366" spans="2:2" ht="14.25" customHeight="1" x14ac:dyDescent="0.3">
      <c r="B366" s="131"/>
    </row>
    <row r="367" spans="2:2" ht="14.25" customHeight="1" x14ac:dyDescent="0.3">
      <c r="B367" s="131"/>
    </row>
    <row r="368" spans="2:2" ht="14.25" customHeight="1" x14ac:dyDescent="0.3">
      <c r="B368" s="131"/>
    </row>
    <row r="369" spans="2:2" ht="14.25" customHeight="1" x14ac:dyDescent="0.3">
      <c r="B369" s="131"/>
    </row>
    <row r="370" spans="2:2" ht="14.25" customHeight="1" x14ac:dyDescent="0.3">
      <c r="B370" s="131"/>
    </row>
    <row r="371" spans="2:2" ht="14.25" customHeight="1" x14ac:dyDescent="0.3">
      <c r="B371" s="131"/>
    </row>
    <row r="372" spans="2:2" ht="14.25" customHeight="1" x14ac:dyDescent="0.3">
      <c r="B372" s="131"/>
    </row>
    <row r="373" spans="2:2" ht="14.25" customHeight="1" x14ac:dyDescent="0.3">
      <c r="B373" s="131"/>
    </row>
    <row r="374" spans="2:2" ht="14.25" customHeight="1" x14ac:dyDescent="0.3">
      <c r="B374" s="131"/>
    </row>
    <row r="375" spans="2:2" ht="14.25" customHeight="1" x14ac:dyDescent="0.3">
      <c r="B375" s="131"/>
    </row>
    <row r="376" spans="2:2" ht="14.25" customHeight="1" x14ac:dyDescent="0.3">
      <c r="B376" s="131"/>
    </row>
    <row r="377" spans="2:2" ht="14.25" customHeight="1" x14ac:dyDescent="0.3">
      <c r="B377" s="131"/>
    </row>
    <row r="378" spans="2:2" ht="14.25" customHeight="1" x14ac:dyDescent="0.3">
      <c r="B378" s="131"/>
    </row>
    <row r="379" spans="2:2" ht="14.25" customHeight="1" x14ac:dyDescent="0.3">
      <c r="B379" s="131"/>
    </row>
    <row r="380" spans="2:2" ht="14.25" customHeight="1" x14ac:dyDescent="0.3">
      <c r="B380" s="131"/>
    </row>
    <row r="381" spans="2:2" ht="14.25" customHeight="1" x14ac:dyDescent="0.3">
      <c r="B381" s="131"/>
    </row>
    <row r="382" spans="2:2" ht="14.25" customHeight="1" x14ac:dyDescent="0.3">
      <c r="B382" s="131"/>
    </row>
    <row r="383" spans="2:2" ht="14.25" customHeight="1" x14ac:dyDescent="0.3">
      <c r="B383" s="131"/>
    </row>
    <row r="384" spans="2:2" ht="14.25" customHeight="1" x14ac:dyDescent="0.3">
      <c r="B384" s="131"/>
    </row>
    <row r="385" spans="2:2" ht="14.25" customHeight="1" x14ac:dyDescent="0.3">
      <c r="B385" s="131"/>
    </row>
    <row r="386" spans="2:2" ht="14.25" customHeight="1" x14ac:dyDescent="0.3">
      <c r="B386" s="131"/>
    </row>
    <row r="387" spans="2:2" ht="14.25" customHeight="1" x14ac:dyDescent="0.3">
      <c r="B387" s="131"/>
    </row>
    <row r="388" spans="2:2" ht="14.25" customHeight="1" x14ac:dyDescent="0.3">
      <c r="B388" s="131"/>
    </row>
    <row r="389" spans="2:2" ht="14.25" customHeight="1" x14ac:dyDescent="0.3">
      <c r="B389" s="131"/>
    </row>
    <row r="390" spans="2:2" ht="14.25" customHeight="1" x14ac:dyDescent="0.3">
      <c r="B390" s="131"/>
    </row>
    <row r="391" spans="2:2" ht="14.25" customHeight="1" x14ac:dyDescent="0.3">
      <c r="B391" s="131"/>
    </row>
    <row r="392" spans="2:2" ht="14.25" customHeight="1" x14ac:dyDescent="0.3">
      <c r="B392" s="131"/>
    </row>
    <row r="393" spans="2:2" ht="14.25" customHeight="1" x14ac:dyDescent="0.3">
      <c r="B393" s="131"/>
    </row>
    <row r="394" spans="2:2" ht="14.25" customHeight="1" x14ac:dyDescent="0.3">
      <c r="B394" s="131"/>
    </row>
    <row r="395" spans="2:2" ht="14.25" customHeight="1" x14ac:dyDescent="0.3">
      <c r="B395" s="131"/>
    </row>
    <row r="396" spans="2:2" ht="14.25" customHeight="1" x14ac:dyDescent="0.3">
      <c r="B396" s="131"/>
    </row>
    <row r="397" spans="2:2" ht="14.25" customHeight="1" x14ac:dyDescent="0.3">
      <c r="B397" s="131"/>
    </row>
    <row r="398" spans="2:2" ht="14.25" customHeight="1" x14ac:dyDescent="0.3">
      <c r="B398" s="131"/>
    </row>
    <row r="399" spans="2:2" ht="14.25" customHeight="1" x14ac:dyDescent="0.3">
      <c r="B399" s="131"/>
    </row>
    <row r="400" spans="2:2" ht="14.25" customHeight="1" x14ac:dyDescent="0.3">
      <c r="B400" s="131"/>
    </row>
    <row r="401" spans="2:2" ht="14.25" customHeight="1" x14ac:dyDescent="0.3">
      <c r="B401" s="131"/>
    </row>
    <row r="402" spans="2:2" ht="14.25" customHeight="1" x14ac:dyDescent="0.3">
      <c r="B402" s="131"/>
    </row>
    <row r="403" spans="2:2" ht="14.25" customHeight="1" x14ac:dyDescent="0.3">
      <c r="B403" s="131"/>
    </row>
    <row r="404" spans="2:2" ht="14.25" customHeight="1" x14ac:dyDescent="0.3">
      <c r="B404" s="131"/>
    </row>
    <row r="405" spans="2:2" ht="14.25" customHeight="1" x14ac:dyDescent="0.3">
      <c r="B405" s="131"/>
    </row>
    <row r="406" spans="2:2" ht="14.25" customHeight="1" x14ac:dyDescent="0.3">
      <c r="B406" s="131"/>
    </row>
    <row r="407" spans="2:2" ht="14.25" customHeight="1" x14ac:dyDescent="0.3">
      <c r="B407" s="131"/>
    </row>
    <row r="408" spans="2:2" ht="14.25" customHeight="1" x14ac:dyDescent="0.3">
      <c r="B408" s="131"/>
    </row>
    <row r="409" spans="2:2" ht="14.25" customHeight="1" x14ac:dyDescent="0.3">
      <c r="B409" s="131"/>
    </row>
    <row r="410" spans="2:2" ht="14.25" customHeight="1" x14ac:dyDescent="0.3">
      <c r="B410" s="131"/>
    </row>
    <row r="411" spans="2:2" ht="14.25" customHeight="1" x14ac:dyDescent="0.3">
      <c r="B411" s="131"/>
    </row>
    <row r="412" spans="2:2" ht="14.25" customHeight="1" x14ac:dyDescent="0.3">
      <c r="B412" s="131"/>
    </row>
    <row r="413" spans="2:2" ht="14.25" customHeight="1" x14ac:dyDescent="0.3">
      <c r="B413" s="131"/>
    </row>
    <row r="414" spans="2:2" ht="14.25" customHeight="1" x14ac:dyDescent="0.3">
      <c r="B414" s="131"/>
    </row>
    <row r="415" spans="2:2" ht="14.25" customHeight="1" x14ac:dyDescent="0.3">
      <c r="B415" s="131"/>
    </row>
    <row r="416" spans="2:2" ht="14.25" customHeight="1" x14ac:dyDescent="0.3">
      <c r="B416" s="131"/>
    </row>
    <row r="417" spans="2:2" ht="14.25" customHeight="1" x14ac:dyDescent="0.3">
      <c r="B417" s="131"/>
    </row>
    <row r="418" spans="2:2" ht="14.25" customHeight="1" x14ac:dyDescent="0.3">
      <c r="B418" s="131"/>
    </row>
    <row r="419" spans="2:2" ht="14.25" customHeight="1" x14ac:dyDescent="0.3">
      <c r="B419" s="131"/>
    </row>
    <row r="420" spans="2:2" ht="14.25" customHeight="1" x14ac:dyDescent="0.3">
      <c r="B420" s="131"/>
    </row>
    <row r="421" spans="2:2" ht="14.25" customHeight="1" x14ac:dyDescent="0.3">
      <c r="B421" s="131"/>
    </row>
    <row r="422" spans="2:2" ht="14.25" customHeight="1" x14ac:dyDescent="0.3">
      <c r="B422" s="131"/>
    </row>
    <row r="423" spans="2:2" ht="14.25" customHeight="1" x14ac:dyDescent="0.3">
      <c r="B423" s="131"/>
    </row>
    <row r="424" spans="2:2" ht="14.25" customHeight="1" x14ac:dyDescent="0.3">
      <c r="B424" s="131"/>
    </row>
    <row r="425" spans="2:2" ht="14.25" customHeight="1" x14ac:dyDescent="0.3">
      <c r="B425" s="131"/>
    </row>
    <row r="426" spans="2:2" ht="14.25" customHeight="1" x14ac:dyDescent="0.3">
      <c r="B426" s="131"/>
    </row>
    <row r="427" spans="2:2" ht="14.25" customHeight="1" x14ac:dyDescent="0.3">
      <c r="B427" s="131"/>
    </row>
    <row r="428" spans="2:2" ht="14.25" customHeight="1" x14ac:dyDescent="0.3">
      <c r="B428" s="131"/>
    </row>
    <row r="429" spans="2:2" ht="14.25" customHeight="1" x14ac:dyDescent="0.3">
      <c r="B429" s="131"/>
    </row>
    <row r="430" spans="2:2" ht="14.25" customHeight="1" x14ac:dyDescent="0.3">
      <c r="B430" s="131"/>
    </row>
    <row r="431" spans="2:2" ht="14.25" customHeight="1" x14ac:dyDescent="0.3">
      <c r="B431" s="131"/>
    </row>
    <row r="432" spans="2:2" ht="14.25" customHeight="1" x14ac:dyDescent="0.3">
      <c r="B432" s="131"/>
    </row>
    <row r="433" spans="2:2" ht="14.25" customHeight="1" x14ac:dyDescent="0.3">
      <c r="B433" s="131"/>
    </row>
    <row r="434" spans="2:2" ht="14.25" customHeight="1" x14ac:dyDescent="0.3">
      <c r="B434" s="131"/>
    </row>
    <row r="435" spans="2:2" ht="14.25" customHeight="1" x14ac:dyDescent="0.3">
      <c r="B435" s="131"/>
    </row>
    <row r="436" spans="2:2" ht="14.25" customHeight="1" x14ac:dyDescent="0.3">
      <c r="B436" s="131"/>
    </row>
    <row r="437" spans="2:2" ht="14.25" customHeight="1" x14ac:dyDescent="0.3">
      <c r="B437" s="131"/>
    </row>
    <row r="438" spans="2:2" ht="14.25" customHeight="1" x14ac:dyDescent="0.3">
      <c r="B438" s="131"/>
    </row>
    <row r="439" spans="2:2" ht="14.25" customHeight="1" x14ac:dyDescent="0.3">
      <c r="B439" s="131"/>
    </row>
    <row r="440" spans="2:2" ht="14.25" customHeight="1" x14ac:dyDescent="0.3">
      <c r="B440" s="131"/>
    </row>
    <row r="441" spans="2:2" ht="14.25" customHeight="1" x14ac:dyDescent="0.3">
      <c r="B441" s="131"/>
    </row>
    <row r="442" spans="2:2" ht="14.25" customHeight="1" x14ac:dyDescent="0.3">
      <c r="B442" s="131"/>
    </row>
    <row r="443" spans="2:2" ht="14.25" customHeight="1" x14ac:dyDescent="0.3">
      <c r="B443" s="131"/>
    </row>
    <row r="444" spans="2:2" ht="14.25" customHeight="1" x14ac:dyDescent="0.3">
      <c r="B444" s="131"/>
    </row>
    <row r="445" spans="2:2" ht="14.25" customHeight="1" x14ac:dyDescent="0.3">
      <c r="B445" s="131"/>
    </row>
    <row r="446" spans="2:2" ht="14.25" customHeight="1" x14ac:dyDescent="0.3">
      <c r="B446" s="131"/>
    </row>
    <row r="447" spans="2:2" ht="14.25" customHeight="1" x14ac:dyDescent="0.3">
      <c r="B447" s="131"/>
    </row>
    <row r="448" spans="2:2" ht="14.25" customHeight="1" x14ac:dyDescent="0.3">
      <c r="B448" s="131"/>
    </row>
    <row r="449" spans="2:2" ht="14.25" customHeight="1" x14ac:dyDescent="0.3">
      <c r="B449" s="131"/>
    </row>
    <row r="450" spans="2:2" ht="14.25" customHeight="1" x14ac:dyDescent="0.3">
      <c r="B450" s="131"/>
    </row>
    <row r="451" spans="2:2" ht="14.25" customHeight="1" x14ac:dyDescent="0.3">
      <c r="B451" s="131"/>
    </row>
    <row r="452" spans="2:2" ht="14.25" customHeight="1" x14ac:dyDescent="0.3">
      <c r="B452" s="131"/>
    </row>
    <row r="453" spans="2:2" ht="14.25" customHeight="1" x14ac:dyDescent="0.3">
      <c r="B453" s="131"/>
    </row>
    <row r="454" spans="2:2" ht="14.25" customHeight="1" x14ac:dyDescent="0.3">
      <c r="B454" s="131"/>
    </row>
    <row r="455" spans="2:2" ht="14.25" customHeight="1" x14ac:dyDescent="0.3">
      <c r="B455" s="131"/>
    </row>
    <row r="456" spans="2:2" ht="14.25" customHeight="1" x14ac:dyDescent="0.3">
      <c r="B456" s="131"/>
    </row>
    <row r="457" spans="2:2" ht="14.25" customHeight="1" x14ac:dyDescent="0.3">
      <c r="B457" s="131"/>
    </row>
    <row r="458" spans="2:2" ht="14.25" customHeight="1" x14ac:dyDescent="0.3">
      <c r="B458" s="131"/>
    </row>
    <row r="459" spans="2:2" ht="14.25" customHeight="1" x14ac:dyDescent="0.3">
      <c r="B459" s="131"/>
    </row>
    <row r="460" spans="2:2" ht="14.25" customHeight="1" x14ac:dyDescent="0.3">
      <c r="B460" s="131"/>
    </row>
    <row r="461" spans="2:2" ht="14.25" customHeight="1" x14ac:dyDescent="0.3">
      <c r="B461" s="131"/>
    </row>
    <row r="462" spans="2:2" ht="14.25" customHeight="1" x14ac:dyDescent="0.3">
      <c r="B462" s="131"/>
    </row>
    <row r="463" spans="2:2" ht="14.25" customHeight="1" x14ac:dyDescent="0.3">
      <c r="B463" s="131"/>
    </row>
    <row r="464" spans="2:2" ht="14.25" customHeight="1" x14ac:dyDescent="0.3">
      <c r="B464" s="131"/>
    </row>
    <row r="465" spans="2:2" ht="14.25" customHeight="1" x14ac:dyDescent="0.3">
      <c r="B465" s="131"/>
    </row>
    <row r="466" spans="2:2" ht="14.25" customHeight="1" x14ac:dyDescent="0.3">
      <c r="B466" s="131"/>
    </row>
    <row r="467" spans="2:2" ht="14.25" customHeight="1" x14ac:dyDescent="0.3">
      <c r="B467" s="131"/>
    </row>
    <row r="468" spans="2:2" ht="14.25" customHeight="1" x14ac:dyDescent="0.3">
      <c r="B468" s="131"/>
    </row>
    <row r="469" spans="2:2" ht="14.25" customHeight="1" x14ac:dyDescent="0.3">
      <c r="B469" s="131"/>
    </row>
    <row r="470" spans="2:2" ht="14.25" customHeight="1" x14ac:dyDescent="0.3">
      <c r="B470" s="131"/>
    </row>
    <row r="471" spans="2:2" ht="14.25" customHeight="1" x14ac:dyDescent="0.3">
      <c r="B471" s="131"/>
    </row>
    <row r="472" spans="2:2" ht="14.25" customHeight="1" x14ac:dyDescent="0.3">
      <c r="B472" s="131"/>
    </row>
    <row r="473" spans="2:2" ht="14.25" customHeight="1" x14ac:dyDescent="0.3">
      <c r="B473" s="131"/>
    </row>
    <row r="474" spans="2:2" ht="14.25" customHeight="1" x14ac:dyDescent="0.3">
      <c r="B474" s="131"/>
    </row>
    <row r="475" spans="2:2" ht="14.25" customHeight="1" x14ac:dyDescent="0.3">
      <c r="B475" s="131"/>
    </row>
    <row r="476" spans="2:2" ht="14.25" customHeight="1" x14ac:dyDescent="0.3">
      <c r="B476" s="131"/>
    </row>
    <row r="477" spans="2:2" ht="14.25" customHeight="1" x14ac:dyDescent="0.3">
      <c r="B477" s="131"/>
    </row>
    <row r="478" spans="2:2" ht="14.25" customHeight="1" x14ac:dyDescent="0.3">
      <c r="B478" s="131"/>
    </row>
    <row r="479" spans="2:2" ht="14.25" customHeight="1" x14ac:dyDescent="0.3">
      <c r="B479" s="131"/>
    </row>
    <row r="480" spans="2:2" ht="14.25" customHeight="1" x14ac:dyDescent="0.3">
      <c r="B480" s="131"/>
    </row>
    <row r="481" spans="2:2" ht="14.25" customHeight="1" x14ac:dyDescent="0.3">
      <c r="B481" s="131"/>
    </row>
    <row r="482" spans="2:2" ht="14.25" customHeight="1" x14ac:dyDescent="0.3">
      <c r="B482" s="131"/>
    </row>
    <row r="483" spans="2:2" ht="14.25" customHeight="1" x14ac:dyDescent="0.3">
      <c r="B483" s="131"/>
    </row>
    <row r="484" spans="2:2" ht="14.25" customHeight="1" x14ac:dyDescent="0.3">
      <c r="B484" s="131"/>
    </row>
    <row r="485" spans="2:2" ht="14.25" customHeight="1" x14ac:dyDescent="0.3">
      <c r="B485" s="131"/>
    </row>
    <row r="486" spans="2:2" ht="14.25" customHeight="1" x14ac:dyDescent="0.3">
      <c r="B486" s="131"/>
    </row>
    <row r="487" spans="2:2" ht="14.25" customHeight="1" x14ac:dyDescent="0.3">
      <c r="B487" s="131"/>
    </row>
    <row r="488" spans="2:2" ht="14.25" customHeight="1" x14ac:dyDescent="0.3">
      <c r="B488" s="131"/>
    </row>
    <row r="489" spans="2:2" ht="14.25" customHeight="1" x14ac:dyDescent="0.3">
      <c r="B489" s="131"/>
    </row>
    <row r="490" spans="2:2" ht="14.25" customHeight="1" x14ac:dyDescent="0.3">
      <c r="B490" s="131"/>
    </row>
    <row r="491" spans="2:2" ht="14.25" customHeight="1" x14ac:dyDescent="0.3">
      <c r="B491" s="131"/>
    </row>
    <row r="492" spans="2:2" ht="14.25" customHeight="1" x14ac:dyDescent="0.3">
      <c r="B492" s="131"/>
    </row>
    <row r="493" spans="2:2" ht="14.25" customHeight="1" x14ac:dyDescent="0.3">
      <c r="B493" s="131"/>
    </row>
    <row r="494" spans="2:2" ht="14.25" customHeight="1" x14ac:dyDescent="0.3">
      <c r="B494" s="131"/>
    </row>
    <row r="495" spans="2:2" ht="14.25" customHeight="1" x14ac:dyDescent="0.3">
      <c r="B495" s="131"/>
    </row>
    <row r="496" spans="2:2" ht="14.25" customHeight="1" x14ac:dyDescent="0.3">
      <c r="B496" s="131"/>
    </row>
    <row r="497" spans="2:2" ht="14.25" customHeight="1" x14ac:dyDescent="0.3">
      <c r="B497" s="131"/>
    </row>
    <row r="498" spans="2:2" ht="14.25" customHeight="1" x14ac:dyDescent="0.3">
      <c r="B498" s="131"/>
    </row>
    <row r="499" spans="2:2" ht="14.25" customHeight="1" x14ac:dyDescent="0.3">
      <c r="B499" s="131"/>
    </row>
    <row r="500" spans="2:2" ht="14.25" customHeight="1" x14ac:dyDescent="0.3">
      <c r="B500" s="131"/>
    </row>
    <row r="501" spans="2:2" ht="14.25" customHeight="1" x14ac:dyDescent="0.3">
      <c r="B501" s="131"/>
    </row>
    <row r="502" spans="2:2" ht="14.25" customHeight="1" x14ac:dyDescent="0.3">
      <c r="B502" s="131"/>
    </row>
    <row r="503" spans="2:2" ht="14.25" customHeight="1" x14ac:dyDescent="0.3">
      <c r="B503" s="131"/>
    </row>
    <row r="504" spans="2:2" ht="14.25" customHeight="1" x14ac:dyDescent="0.3">
      <c r="B504" s="131"/>
    </row>
    <row r="505" spans="2:2" ht="14.25" customHeight="1" x14ac:dyDescent="0.3">
      <c r="B505" s="131"/>
    </row>
    <row r="506" spans="2:2" ht="14.25" customHeight="1" x14ac:dyDescent="0.3">
      <c r="B506" s="131"/>
    </row>
    <row r="507" spans="2:2" ht="14.25" customHeight="1" x14ac:dyDescent="0.3">
      <c r="B507" s="131"/>
    </row>
    <row r="508" spans="2:2" ht="14.25" customHeight="1" x14ac:dyDescent="0.3">
      <c r="B508" s="131"/>
    </row>
    <row r="509" spans="2:2" ht="14.25" customHeight="1" x14ac:dyDescent="0.3">
      <c r="B509" s="131"/>
    </row>
    <row r="510" spans="2:2" ht="14.25" customHeight="1" x14ac:dyDescent="0.3">
      <c r="B510" s="131"/>
    </row>
    <row r="511" spans="2:2" ht="14.25" customHeight="1" x14ac:dyDescent="0.3">
      <c r="B511" s="131"/>
    </row>
    <row r="512" spans="2:2" ht="14.25" customHeight="1" x14ac:dyDescent="0.3">
      <c r="B512" s="131"/>
    </row>
    <row r="513" spans="2:2" ht="14.25" customHeight="1" x14ac:dyDescent="0.3">
      <c r="B513" s="131"/>
    </row>
    <row r="514" spans="2:2" ht="14.25" customHeight="1" x14ac:dyDescent="0.3">
      <c r="B514" s="131"/>
    </row>
    <row r="515" spans="2:2" ht="14.25" customHeight="1" x14ac:dyDescent="0.3">
      <c r="B515" s="131"/>
    </row>
    <row r="516" spans="2:2" ht="14.25" customHeight="1" x14ac:dyDescent="0.3">
      <c r="B516" s="131"/>
    </row>
    <row r="517" spans="2:2" ht="14.25" customHeight="1" x14ac:dyDescent="0.3">
      <c r="B517" s="131"/>
    </row>
    <row r="518" spans="2:2" ht="14.25" customHeight="1" x14ac:dyDescent="0.3">
      <c r="B518" s="131"/>
    </row>
    <row r="519" spans="2:2" ht="14.25" customHeight="1" x14ac:dyDescent="0.3">
      <c r="B519" s="131"/>
    </row>
    <row r="520" spans="2:2" ht="14.25" customHeight="1" x14ac:dyDescent="0.3">
      <c r="B520" s="131"/>
    </row>
    <row r="521" spans="2:2" ht="14.25" customHeight="1" x14ac:dyDescent="0.3">
      <c r="B521" s="131"/>
    </row>
    <row r="522" spans="2:2" ht="14.25" customHeight="1" x14ac:dyDescent="0.3">
      <c r="B522" s="131"/>
    </row>
    <row r="523" spans="2:2" ht="14.25" customHeight="1" x14ac:dyDescent="0.3">
      <c r="B523" s="131"/>
    </row>
    <row r="524" spans="2:2" ht="14.25" customHeight="1" x14ac:dyDescent="0.3">
      <c r="B524" s="131"/>
    </row>
    <row r="525" spans="2:2" ht="14.25" customHeight="1" x14ac:dyDescent="0.3">
      <c r="B525" s="131"/>
    </row>
    <row r="526" spans="2:2" ht="14.25" customHeight="1" x14ac:dyDescent="0.3">
      <c r="B526" s="131"/>
    </row>
    <row r="527" spans="2:2" ht="14.25" customHeight="1" x14ac:dyDescent="0.3">
      <c r="B527" s="131"/>
    </row>
    <row r="528" spans="2:2" ht="14.25" customHeight="1" x14ac:dyDescent="0.3">
      <c r="B528" s="131"/>
    </row>
    <row r="529" spans="2:2" ht="14.25" customHeight="1" x14ac:dyDescent="0.3">
      <c r="B529" s="131"/>
    </row>
    <row r="530" spans="2:2" ht="14.25" customHeight="1" x14ac:dyDescent="0.3">
      <c r="B530" s="131"/>
    </row>
    <row r="531" spans="2:2" ht="14.25" customHeight="1" x14ac:dyDescent="0.3">
      <c r="B531" s="131"/>
    </row>
    <row r="532" spans="2:2" ht="14.25" customHeight="1" x14ac:dyDescent="0.3">
      <c r="B532" s="131"/>
    </row>
    <row r="533" spans="2:2" ht="14.25" customHeight="1" x14ac:dyDescent="0.3">
      <c r="B533" s="131"/>
    </row>
    <row r="534" spans="2:2" ht="14.25" customHeight="1" x14ac:dyDescent="0.3">
      <c r="B534" s="131"/>
    </row>
    <row r="535" spans="2:2" ht="14.25" customHeight="1" x14ac:dyDescent="0.3">
      <c r="B535" s="131"/>
    </row>
    <row r="536" spans="2:2" ht="14.25" customHeight="1" x14ac:dyDescent="0.3">
      <c r="B536" s="131"/>
    </row>
    <row r="537" spans="2:2" ht="14.25" customHeight="1" x14ac:dyDescent="0.3">
      <c r="B537" s="131"/>
    </row>
    <row r="538" spans="2:2" ht="14.25" customHeight="1" x14ac:dyDescent="0.3">
      <c r="B538" s="131"/>
    </row>
    <row r="539" spans="2:2" ht="14.25" customHeight="1" x14ac:dyDescent="0.3">
      <c r="B539" s="131"/>
    </row>
    <row r="540" spans="2:2" ht="14.25" customHeight="1" x14ac:dyDescent="0.3">
      <c r="B540" s="131"/>
    </row>
    <row r="541" spans="2:2" ht="14.25" customHeight="1" x14ac:dyDescent="0.3">
      <c r="B541" s="131"/>
    </row>
    <row r="542" spans="2:2" ht="14.25" customHeight="1" x14ac:dyDescent="0.3">
      <c r="B542" s="131"/>
    </row>
    <row r="543" spans="2:2" ht="14.25" customHeight="1" x14ac:dyDescent="0.3">
      <c r="B543" s="131"/>
    </row>
    <row r="544" spans="2:2" ht="14.25" customHeight="1" x14ac:dyDescent="0.3">
      <c r="B544" s="131"/>
    </row>
    <row r="545" spans="2:2" ht="14.25" customHeight="1" x14ac:dyDescent="0.3">
      <c r="B545" s="131"/>
    </row>
    <row r="546" spans="2:2" ht="14.25" customHeight="1" x14ac:dyDescent="0.3">
      <c r="B546" s="131"/>
    </row>
    <row r="547" spans="2:2" ht="14.25" customHeight="1" x14ac:dyDescent="0.3">
      <c r="B547" s="131"/>
    </row>
    <row r="548" spans="2:2" ht="14.25" customHeight="1" x14ac:dyDescent="0.3">
      <c r="B548" s="131"/>
    </row>
    <row r="549" spans="2:2" ht="14.25" customHeight="1" x14ac:dyDescent="0.3">
      <c r="B549" s="131"/>
    </row>
    <row r="550" spans="2:2" ht="14.25" customHeight="1" x14ac:dyDescent="0.3">
      <c r="B550" s="131"/>
    </row>
    <row r="551" spans="2:2" ht="14.25" customHeight="1" x14ac:dyDescent="0.3">
      <c r="B551" s="131"/>
    </row>
    <row r="552" spans="2:2" ht="14.25" customHeight="1" x14ac:dyDescent="0.3">
      <c r="B552" s="131"/>
    </row>
    <row r="553" spans="2:2" ht="14.25" customHeight="1" x14ac:dyDescent="0.3">
      <c r="B553" s="131"/>
    </row>
    <row r="554" spans="2:2" ht="14.25" customHeight="1" x14ac:dyDescent="0.3">
      <c r="B554" s="131"/>
    </row>
    <row r="555" spans="2:2" ht="14.25" customHeight="1" x14ac:dyDescent="0.3">
      <c r="B555" s="131"/>
    </row>
    <row r="556" spans="2:2" ht="14.25" customHeight="1" x14ac:dyDescent="0.3">
      <c r="B556" s="131"/>
    </row>
    <row r="557" spans="2:2" ht="14.25" customHeight="1" x14ac:dyDescent="0.3">
      <c r="B557" s="131"/>
    </row>
    <row r="558" spans="2:2" ht="14.25" customHeight="1" x14ac:dyDescent="0.3">
      <c r="B558" s="131"/>
    </row>
    <row r="559" spans="2:2" ht="14.25" customHeight="1" x14ac:dyDescent="0.3">
      <c r="B559" s="131"/>
    </row>
    <row r="560" spans="2:2" ht="14.25" customHeight="1" x14ac:dyDescent="0.3">
      <c r="B560" s="131"/>
    </row>
    <row r="561" spans="2:2" ht="14.25" customHeight="1" x14ac:dyDescent="0.3">
      <c r="B561" s="131"/>
    </row>
    <row r="562" spans="2:2" ht="14.25" customHeight="1" x14ac:dyDescent="0.3">
      <c r="B562" s="131"/>
    </row>
    <row r="563" spans="2:2" ht="14.25" customHeight="1" x14ac:dyDescent="0.3">
      <c r="B563" s="131"/>
    </row>
    <row r="564" spans="2:2" ht="14.25" customHeight="1" x14ac:dyDescent="0.3">
      <c r="B564" s="131"/>
    </row>
    <row r="565" spans="2:2" ht="14.25" customHeight="1" x14ac:dyDescent="0.3">
      <c r="B565" s="131"/>
    </row>
    <row r="566" spans="2:2" ht="14.25" customHeight="1" x14ac:dyDescent="0.3">
      <c r="B566" s="131"/>
    </row>
    <row r="567" spans="2:2" ht="14.25" customHeight="1" x14ac:dyDescent="0.3">
      <c r="B567" s="131"/>
    </row>
    <row r="568" spans="2:2" ht="14.25" customHeight="1" x14ac:dyDescent="0.3">
      <c r="B568" s="131"/>
    </row>
    <row r="569" spans="2:2" ht="14.25" customHeight="1" x14ac:dyDescent="0.3">
      <c r="B569" s="131"/>
    </row>
    <row r="570" spans="2:2" ht="14.25" customHeight="1" x14ac:dyDescent="0.3">
      <c r="B570" s="131"/>
    </row>
    <row r="571" spans="2:2" ht="14.25" customHeight="1" x14ac:dyDescent="0.3">
      <c r="B571" s="131"/>
    </row>
    <row r="572" spans="2:2" ht="14.25" customHeight="1" x14ac:dyDescent="0.3">
      <c r="B572" s="131"/>
    </row>
    <row r="573" spans="2:2" ht="14.25" customHeight="1" x14ac:dyDescent="0.3">
      <c r="B573" s="131"/>
    </row>
    <row r="574" spans="2:2" ht="14.25" customHeight="1" x14ac:dyDescent="0.3">
      <c r="B574" s="131"/>
    </row>
    <row r="575" spans="2:2" ht="14.25" customHeight="1" x14ac:dyDescent="0.3">
      <c r="B575" s="131"/>
    </row>
    <row r="576" spans="2:2" ht="14.25" customHeight="1" x14ac:dyDescent="0.3">
      <c r="B576" s="131"/>
    </row>
    <row r="577" spans="2:2" ht="14.25" customHeight="1" x14ac:dyDescent="0.3">
      <c r="B577" s="131"/>
    </row>
    <row r="578" spans="2:2" ht="14.25" customHeight="1" x14ac:dyDescent="0.3">
      <c r="B578" s="131"/>
    </row>
    <row r="579" spans="2:2" ht="14.25" customHeight="1" x14ac:dyDescent="0.3">
      <c r="B579" s="131"/>
    </row>
    <row r="580" spans="2:2" ht="14.25" customHeight="1" x14ac:dyDescent="0.3">
      <c r="B580" s="131"/>
    </row>
    <row r="581" spans="2:2" ht="14.25" customHeight="1" x14ac:dyDescent="0.3">
      <c r="B581" s="131"/>
    </row>
    <row r="582" spans="2:2" ht="14.25" customHeight="1" x14ac:dyDescent="0.3">
      <c r="B582" s="131"/>
    </row>
    <row r="583" spans="2:2" ht="14.25" customHeight="1" x14ac:dyDescent="0.3">
      <c r="B583" s="131"/>
    </row>
    <row r="584" spans="2:2" ht="14.25" customHeight="1" x14ac:dyDescent="0.3">
      <c r="B584" s="131"/>
    </row>
    <row r="585" spans="2:2" ht="14.25" customHeight="1" x14ac:dyDescent="0.3">
      <c r="B585" s="131"/>
    </row>
    <row r="586" spans="2:2" ht="14.25" customHeight="1" x14ac:dyDescent="0.3">
      <c r="B586" s="131"/>
    </row>
    <row r="587" spans="2:2" ht="14.25" customHeight="1" x14ac:dyDescent="0.3">
      <c r="B587" s="131"/>
    </row>
    <row r="588" spans="2:2" ht="14.25" customHeight="1" x14ac:dyDescent="0.3">
      <c r="B588" s="131"/>
    </row>
    <row r="589" spans="2:2" ht="14.25" customHeight="1" x14ac:dyDescent="0.3">
      <c r="B589" s="131"/>
    </row>
    <row r="590" spans="2:2" ht="14.25" customHeight="1" x14ac:dyDescent="0.3">
      <c r="B590" s="131"/>
    </row>
    <row r="591" spans="2:2" ht="14.25" customHeight="1" x14ac:dyDescent="0.3">
      <c r="B591" s="131"/>
    </row>
    <row r="592" spans="2:2" ht="14.25" customHeight="1" x14ac:dyDescent="0.3">
      <c r="B592" s="131"/>
    </row>
    <row r="593" spans="2:2" ht="14.25" customHeight="1" x14ac:dyDescent="0.3">
      <c r="B593" s="131"/>
    </row>
    <row r="594" spans="2:2" ht="14.25" customHeight="1" x14ac:dyDescent="0.3">
      <c r="B594" s="131"/>
    </row>
    <row r="595" spans="2:2" ht="14.25" customHeight="1" x14ac:dyDescent="0.3">
      <c r="B595" s="131"/>
    </row>
    <row r="596" spans="2:2" ht="14.25" customHeight="1" x14ac:dyDescent="0.3">
      <c r="B596" s="131"/>
    </row>
    <row r="597" spans="2:2" ht="14.25" customHeight="1" x14ac:dyDescent="0.3">
      <c r="B597" s="131"/>
    </row>
    <row r="598" spans="2:2" ht="14.25" customHeight="1" x14ac:dyDescent="0.3">
      <c r="B598" s="131"/>
    </row>
    <row r="599" spans="2:2" ht="14.25" customHeight="1" x14ac:dyDescent="0.3">
      <c r="B599" s="131"/>
    </row>
    <row r="600" spans="2:2" ht="14.25" customHeight="1" x14ac:dyDescent="0.3">
      <c r="B600" s="131"/>
    </row>
    <row r="601" spans="2:2" ht="14.25" customHeight="1" x14ac:dyDescent="0.3">
      <c r="B601" s="131"/>
    </row>
    <row r="602" spans="2:2" ht="14.25" customHeight="1" x14ac:dyDescent="0.3">
      <c r="B602" s="131"/>
    </row>
    <row r="603" spans="2:2" ht="14.25" customHeight="1" x14ac:dyDescent="0.3">
      <c r="B603" s="131"/>
    </row>
    <row r="604" spans="2:2" ht="14.25" customHeight="1" x14ac:dyDescent="0.3">
      <c r="B604" s="131"/>
    </row>
    <row r="605" spans="2:2" ht="14.25" customHeight="1" x14ac:dyDescent="0.3">
      <c r="B605" s="131"/>
    </row>
    <row r="606" spans="2:2" ht="14.25" customHeight="1" x14ac:dyDescent="0.3">
      <c r="B606" s="131"/>
    </row>
    <row r="607" spans="2:2" ht="14.25" customHeight="1" x14ac:dyDescent="0.3">
      <c r="B607" s="131"/>
    </row>
    <row r="608" spans="2:2" ht="14.25" customHeight="1" x14ac:dyDescent="0.3">
      <c r="B608" s="131"/>
    </row>
    <row r="609" spans="2:2" ht="14.25" customHeight="1" x14ac:dyDescent="0.3">
      <c r="B609" s="131"/>
    </row>
    <row r="610" spans="2:2" ht="14.25" customHeight="1" x14ac:dyDescent="0.3">
      <c r="B610" s="131"/>
    </row>
    <row r="611" spans="2:2" ht="14.25" customHeight="1" x14ac:dyDescent="0.3">
      <c r="B611" s="131"/>
    </row>
    <row r="612" spans="2:2" ht="14.25" customHeight="1" x14ac:dyDescent="0.3">
      <c r="B612" s="131"/>
    </row>
    <row r="613" spans="2:2" ht="14.25" customHeight="1" x14ac:dyDescent="0.3">
      <c r="B613" s="131"/>
    </row>
    <row r="614" spans="2:2" ht="14.25" customHeight="1" x14ac:dyDescent="0.3">
      <c r="B614" s="131"/>
    </row>
    <row r="615" spans="2:2" ht="14.25" customHeight="1" x14ac:dyDescent="0.3">
      <c r="B615" s="131"/>
    </row>
    <row r="616" spans="2:2" ht="14.25" customHeight="1" x14ac:dyDescent="0.3">
      <c r="B616" s="131"/>
    </row>
    <row r="617" spans="2:2" ht="14.25" customHeight="1" x14ac:dyDescent="0.3">
      <c r="B617" s="131"/>
    </row>
    <row r="618" spans="2:2" ht="14.25" customHeight="1" x14ac:dyDescent="0.3">
      <c r="B618" s="131"/>
    </row>
    <row r="619" spans="2:2" ht="14.25" customHeight="1" x14ac:dyDescent="0.3">
      <c r="B619" s="131"/>
    </row>
    <row r="620" spans="2:2" ht="14.25" customHeight="1" x14ac:dyDescent="0.3">
      <c r="B620" s="131"/>
    </row>
    <row r="621" spans="2:2" ht="14.25" customHeight="1" x14ac:dyDescent="0.3">
      <c r="B621" s="131"/>
    </row>
    <row r="622" spans="2:2" ht="14.25" customHeight="1" x14ac:dyDescent="0.3">
      <c r="B622" s="131"/>
    </row>
    <row r="623" spans="2:2" ht="14.25" customHeight="1" x14ac:dyDescent="0.3">
      <c r="B623" s="131"/>
    </row>
    <row r="624" spans="2:2" ht="14.25" customHeight="1" x14ac:dyDescent="0.3">
      <c r="B624" s="131"/>
    </row>
    <row r="625" spans="2:2" ht="14.25" customHeight="1" x14ac:dyDescent="0.3">
      <c r="B625" s="131"/>
    </row>
    <row r="626" spans="2:2" ht="14.25" customHeight="1" x14ac:dyDescent="0.3">
      <c r="B626" s="131"/>
    </row>
    <row r="627" spans="2:2" ht="14.25" customHeight="1" x14ac:dyDescent="0.3">
      <c r="B627" s="131"/>
    </row>
    <row r="628" spans="2:2" ht="14.25" customHeight="1" x14ac:dyDescent="0.3">
      <c r="B628" s="131"/>
    </row>
    <row r="629" spans="2:2" ht="14.25" customHeight="1" x14ac:dyDescent="0.3">
      <c r="B629" s="131"/>
    </row>
    <row r="630" spans="2:2" ht="14.25" customHeight="1" x14ac:dyDescent="0.3">
      <c r="B630" s="131"/>
    </row>
    <row r="631" spans="2:2" ht="14.25" customHeight="1" x14ac:dyDescent="0.3">
      <c r="B631" s="131"/>
    </row>
    <row r="632" spans="2:2" ht="14.25" customHeight="1" x14ac:dyDescent="0.3">
      <c r="B632" s="131"/>
    </row>
    <row r="633" spans="2:2" ht="14.25" customHeight="1" x14ac:dyDescent="0.3">
      <c r="B633" s="131"/>
    </row>
    <row r="634" spans="2:2" ht="14.25" customHeight="1" x14ac:dyDescent="0.3">
      <c r="B634" s="131"/>
    </row>
    <row r="635" spans="2:2" ht="14.25" customHeight="1" x14ac:dyDescent="0.3">
      <c r="B635" s="131"/>
    </row>
    <row r="636" spans="2:2" ht="14.25" customHeight="1" x14ac:dyDescent="0.3">
      <c r="B636" s="131"/>
    </row>
    <row r="637" spans="2:2" ht="14.25" customHeight="1" x14ac:dyDescent="0.3">
      <c r="B637" s="131"/>
    </row>
    <row r="638" spans="2:2" ht="14.25" customHeight="1" x14ac:dyDescent="0.3">
      <c r="B638" s="131"/>
    </row>
    <row r="639" spans="2:2" ht="14.25" customHeight="1" x14ac:dyDescent="0.3">
      <c r="B639" s="131"/>
    </row>
    <row r="640" spans="2:2" ht="14.25" customHeight="1" x14ac:dyDescent="0.3">
      <c r="B640" s="131"/>
    </row>
    <row r="641" spans="2:2" ht="14.25" customHeight="1" x14ac:dyDescent="0.3">
      <c r="B641" s="131"/>
    </row>
    <row r="642" spans="2:2" ht="14.25" customHeight="1" x14ac:dyDescent="0.3">
      <c r="B642" s="131"/>
    </row>
    <row r="643" spans="2:2" ht="14.25" customHeight="1" x14ac:dyDescent="0.3">
      <c r="B643" s="131"/>
    </row>
    <row r="644" spans="2:2" ht="14.25" customHeight="1" x14ac:dyDescent="0.3">
      <c r="B644" s="131"/>
    </row>
    <row r="645" spans="2:2" ht="14.25" customHeight="1" x14ac:dyDescent="0.3">
      <c r="B645" s="131"/>
    </row>
    <row r="646" spans="2:2" ht="14.25" customHeight="1" x14ac:dyDescent="0.3">
      <c r="B646" s="131"/>
    </row>
    <row r="647" spans="2:2" ht="14.25" customHeight="1" x14ac:dyDescent="0.3">
      <c r="B647" s="131"/>
    </row>
    <row r="648" spans="2:2" ht="14.25" customHeight="1" x14ac:dyDescent="0.3">
      <c r="B648" s="131"/>
    </row>
    <row r="649" spans="2:2" ht="14.25" customHeight="1" x14ac:dyDescent="0.3">
      <c r="B649" s="131"/>
    </row>
    <row r="650" spans="2:2" ht="14.25" customHeight="1" x14ac:dyDescent="0.3">
      <c r="B650" s="131"/>
    </row>
    <row r="651" spans="2:2" ht="14.25" customHeight="1" x14ac:dyDescent="0.3">
      <c r="B651" s="131"/>
    </row>
    <row r="652" spans="2:2" ht="14.25" customHeight="1" x14ac:dyDescent="0.3">
      <c r="B652" s="131"/>
    </row>
    <row r="653" spans="2:2" ht="14.25" customHeight="1" x14ac:dyDescent="0.3">
      <c r="B653" s="131"/>
    </row>
    <row r="654" spans="2:2" ht="14.25" customHeight="1" x14ac:dyDescent="0.3">
      <c r="B654" s="131"/>
    </row>
    <row r="655" spans="2:2" ht="14.25" customHeight="1" x14ac:dyDescent="0.3">
      <c r="B655" s="131"/>
    </row>
    <row r="656" spans="2:2" ht="14.25" customHeight="1" x14ac:dyDescent="0.3">
      <c r="B656" s="131"/>
    </row>
    <row r="657" spans="2:2" ht="14.25" customHeight="1" x14ac:dyDescent="0.3">
      <c r="B657" s="131"/>
    </row>
    <row r="658" spans="2:2" ht="14.25" customHeight="1" x14ac:dyDescent="0.3">
      <c r="B658" s="131"/>
    </row>
    <row r="659" spans="2:2" ht="14.25" customHeight="1" x14ac:dyDescent="0.3">
      <c r="B659" s="131"/>
    </row>
    <row r="660" spans="2:2" ht="14.25" customHeight="1" x14ac:dyDescent="0.3">
      <c r="B660" s="131"/>
    </row>
    <row r="661" spans="2:2" ht="14.25" customHeight="1" x14ac:dyDescent="0.3">
      <c r="B661" s="131"/>
    </row>
    <row r="662" spans="2:2" ht="14.25" customHeight="1" x14ac:dyDescent="0.3">
      <c r="B662" s="131"/>
    </row>
    <row r="663" spans="2:2" ht="14.25" customHeight="1" x14ac:dyDescent="0.3">
      <c r="B663" s="131"/>
    </row>
    <row r="664" spans="2:2" ht="14.25" customHeight="1" x14ac:dyDescent="0.3">
      <c r="B664" s="131"/>
    </row>
    <row r="665" spans="2:2" ht="14.25" customHeight="1" x14ac:dyDescent="0.3">
      <c r="B665" s="131"/>
    </row>
    <row r="666" spans="2:2" ht="14.25" customHeight="1" x14ac:dyDescent="0.3">
      <c r="B666" s="131"/>
    </row>
    <row r="667" spans="2:2" ht="14.25" customHeight="1" x14ac:dyDescent="0.3">
      <c r="B667" s="131"/>
    </row>
    <row r="668" spans="2:2" ht="14.25" customHeight="1" x14ac:dyDescent="0.3">
      <c r="B668" s="131"/>
    </row>
    <row r="669" spans="2:2" ht="14.25" customHeight="1" x14ac:dyDescent="0.3">
      <c r="B669" s="131"/>
    </row>
    <row r="670" spans="2:2" ht="14.25" customHeight="1" x14ac:dyDescent="0.3">
      <c r="B670" s="131"/>
    </row>
    <row r="671" spans="2:2" ht="14.25" customHeight="1" x14ac:dyDescent="0.3">
      <c r="B671" s="131"/>
    </row>
    <row r="672" spans="2:2" ht="14.25" customHeight="1" x14ac:dyDescent="0.3">
      <c r="B672" s="131"/>
    </row>
    <row r="673" spans="2:2" ht="14.25" customHeight="1" x14ac:dyDescent="0.3">
      <c r="B673" s="131"/>
    </row>
    <row r="674" spans="2:2" ht="14.25" customHeight="1" x14ac:dyDescent="0.3">
      <c r="B674" s="131"/>
    </row>
    <row r="675" spans="2:2" ht="14.25" customHeight="1" x14ac:dyDescent="0.3">
      <c r="B675" s="131"/>
    </row>
    <row r="676" spans="2:2" ht="14.25" customHeight="1" x14ac:dyDescent="0.3">
      <c r="B676" s="131"/>
    </row>
    <row r="677" spans="2:2" ht="14.25" customHeight="1" x14ac:dyDescent="0.3">
      <c r="B677" s="131"/>
    </row>
    <row r="678" spans="2:2" ht="14.25" customHeight="1" x14ac:dyDescent="0.3">
      <c r="B678" s="131"/>
    </row>
    <row r="679" spans="2:2" ht="14.25" customHeight="1" x14ac:dyDescent="0.3">
      <c r="B679" s="131"/>
    </row>
    <row r="680" spans="2:2" ht="14.25" customHeight="1" x14ac:dyDescent="0.3">
      <c r="B680" s="131"/>
    </row>
    <row r="681" spans="2:2" ht="14.25" customHeight="1" x14ac:dyDescent="0.3">
      <c r="B681" s="131"/>
    </row>
    <row r="682" spans="2:2" ht="14.25" customHeight="1" x14ac:dyDescent="0.3">
      <c r="B682" s="131"/>
    </row>
    <row r="683" spans="2:2" ht="14.25" customHeight="1" x14ac:dyDescent="0.3">
      <c r="B683" s="131"/>
    </row>
    <row r="684" spans="2:2" ht="14.25" customHeight="1" x14ac:dyDescent="0.3">
      <c r="B684" s="131"/>
    </row>
    <row r="685" spans="2:2" ht="14.25" customHeight="1" x14ac:dyDescent="0.3">
      <c r="B685" s="131"/>
    </row>
    <row r="686" spans="2:2" ht="14.25" customHeight="1" x14ac:dyDescent="0.3">
      <c r="B686" s="131"/>
    </row>
    <row r="687" spans="2:2" ht="14.25" customHeight="1" x14ac:dyDescent="0.3">
      <c r="B687" s="131"/>
    </row>
    <row r="688" spans="2:2" ht="14.25" customHeight="1" x14ac:dyDescent="0.3">
      <c r="B688" s="131"/>
    </row>
    <row r="689" spans="2:2" ht="14.25" customHeight="1" x14ac:dyDescent="0.3">
      <c r="B689" s="131"/>
    </row>
    <row r="690" spans="2:2" ht="14.25" customHeight="1" x14ac:dyDescent="0.3">
      <c r="B690" s="131"/>
    </row>
    <row r="691" spans="2:2" ht="14.25" customHeight="1" x14ac:dyDescent="0.3">
      <c r="B691" s="131"/>
    </row>
    <row r="692" spans="2:2" ht="14.25" customHeight="1" x14ac:dyDescent="0.3">
      <c r="B692" s="131"/>
    </row>
    <row r="693" spans="2:2" ht="14.25" customHeight="1" x14ac:dyDescent="0.3">
      <c r="B693" s="131"/>
    </row>
    <row r="694" spans="2:2" ht="14.25" customHeight="1" x14ac:dyDescent="0.3">
      <c r="B694" s="131"/>
    </row>
    <row r="695" spans="2:2" ht="14.25" customHeight="1" x14ac:dyDescent="0.3">
      <c r="B695" s="131"/>
    </row>
    <row r="696" spans="2:2" ht="14.25" customHeight="1" x14ac:dyDescent="0.3">
      <c r="B696" s="131"/>
    </row>
    <row r="697" spans="2:2" ht="14.25" customHeight="1" x14ac:dyDescent="0.3">
      <c r="B697" s="131"/>
    </row>
    <row r="698" spans="2:2" ht="14.25" customHeight="1" x14ac:dyDescent="0.3">
      <c r="B698" s="131"/>
    </row>
    <row r="699" spans="2:2" ht="14.25" customHeight="1" x14ac:dyDescent="0.3">
      <c r="B699" s="131"/>
    </row>
    <row r="700" spans="2:2" ht="14.25" customHeight="1" x14ac:dyDescent="0.3">
      <c r="B700" s="131"/>
    </row>
    <row r="701" spans="2:2" ht="14.25" customHeight="1" x14ac:dyDescent="0.3">
      <c r="B701" s="131"/>
    </row>
    <row r="702" spans="2:2" ht="14.25" customHeight="1" x14ac:dyDescent="0.3">
      <c r="B702" s="131"/>
    </row>
    <row r="703" spans="2:2" ht="14.25" customHeight="1" x14ac:dyDescent="0.3">
      <c r="B703" s="131"/>
    </row>
    <row r="704" spans="2:2" ht="14.25" customHeight="1" x14ac:dyDescent="0.3">
      <c r="B704" s="131"/>
    </row>
    <row r="705" spans="2:2" ht="14.25" customHeight="1" x14ac:dyDescent="0.3">
      <c r="B705" s="131"/>
    </row>
    <row r="706" spans="2:2" ht="14.25" customHeight="1" x14ac:dyDescent="0.3">
      <c r="B706" s="131"/>
    </row>
    <row r="707" spans="2:2" ht="14.25" customHeight="1" x14ac:dyDescent="0.3">
      <c r="B707" s="131"/>
    </row>
    <row r="708" spans="2:2" ht="14.25" customHeight="1" x14ac:dyDescent="0.3">
      <c r="B708" s="131"/>
    </row>
    <row r="709" spans="2:2" ht="14.25" customHeight="1" x14ac:dyDescent="0.3">
      <c r="B709" s="131"/>
    </row>
    <row r="710" spans="2:2" ht="14.25" customHeight="1" x14ac:dyDescent="0.3">
      <c r="B710" s="131"/>
    </row>
    <row r="711" spans="2:2" ht="14.25" customHeight="1" x14ac:dyDescent="0.3">
      <c r="B711" s="131"/>
    </row>
    <row r="712" spans="2:2" ht="14.25" customHeight="1" x14ac:dyDescent="0.3">
      <c r="B712" s="131"/>
    </row>
    <row r="713" spans="2:2" ht="14.25" customHeight="1" x14ac:dyDescent="0.3">
      <c r="B713" s="131"/>
    </row>
    <row r="714" spans="2:2" ht="14.25" customHeight="1" x14ac:dyDescent="0.3">
      <c r="B714" s="131"/>
    </row>
    <row r="715" spans="2:2" ht="14.25" customHeight="1" x14ac:dyDescent="0.3">
      <c r="B715" s="131"/>
    </row>
    <row r="716" spans="2:2" ht="14.25" customHeight="1" x14ac:dyDescent="0.3">
      <c r="B716" s="131"/>
    </row>
    <row r="717" spans="2:2" ht="14.25" customHeight="1" x14ac:dyDescent="0.3">
      <c r="B717" s="131"/>
    </row>
    <row r="718" spans="2:2" ht="14.25" customHeight="1" x14ac:dyDescent="0.3">
      <c r="B718" s="131"/>
    </row>
    <row r="719" spans="2:2" ht="14.25" customHeight="1" x14ac:dyDescent="0.3">
      <c r="B719" s="131"/>
    </row>
    <row r="720" spans="2:2" ht="14.25" customHeight="1" x14ac:dyDescent="0.3">
      <c r="B720" s="131"/>
    </row>
    <row r="721" spans="2:2" ht="14.25" customHeight="1" x14ac:dyDescent="0.3">
      <c r="B721" s="131"/>
    </row>
    <row r="722" spans="2:2" ht="14.25" customHeight="1" x14ac:dyDescent="0.3">
      <c r="B722" s="131"/>
    </row>
    <row r="723" spans="2:2" ht="14.25" customHeight="1" x14ac:dyDescent="0.3">
      <c r="B723" s="131"/>
    </row>
    <row r="724" spans="2:2" ht="14.25" customHeight="1" x14ac:dyDescent="0.3">
      <c r="B724" s="131"/>
    </row>
    <row r="725" spans="2:2" ht="14.25" customHeight="1" x14ac:dyDescent="0.3">
      <c r="B725" s="131"/>
    </row>
    <row r="726" spans="2:2" ht="14.25" customHeight="1" x14ac:dyDescent="0.3">
      <c r="B726" s="131"/>
    </row>
    <row r="727" spans="2:2" ht="14.25" customHeight="1" x14ac:dyDescent="0.3">
      <c r="B727" s="131"/>
    </row>
    <row r="728" spans="2:2" ht="14.25" customHeight="1" x14ac:dyDescent="0.3">
      <c r="B728" s="131"/>
    </row>
    <row r="729" spans="2:2" ht="14.25" customHeight="1" x14ac:dyDescent="0.3">
      <c r="B729" s="131"/>
    </row>
    <row r="730" spans="2:2" ht="14.25" customHeight="1" x14ac:dyDescent="0.3">
      <c r="B730" s="131"/>
    </row>
    <row r="731" spans="2:2" ht="14.25" customHeight="1" x14ac:dyDescent="0.3">
      <c r="B731" s="131"/>
    </row>
    <row r="732" spans="2:2" ht="14.25" customHeight="1" x14ac:dyDescent="0.3">
      <c r="B732" s="131"/>
    </row>
    <row r="733" spans="2:2" ht="14.25" customHeight="1" x14ac:dyDescent="0.3">
      <c r="B733" s="131"/>
    </row>
    <row r="734" spans="2:2" ht="14.25" customHeight="1" x14ac:dyDescent="0.3">
      <c r="B734" s="131"/>
    </row>
    <row r="735" spans="2:2" ht="14.25" customHeight="1" x14ac:dyDescent="0.3">
      <c r="B735" s="131"/>
    </row>
    <row r="736" spans="2:2" ht="14.25" customHeight="1" x14ac:dyDescent="0.3">
      <c r="B736" s="131"/>
    </row>
    <row r="737" spans="2:2" ht="14.25" customHeight="1" x14ac:dyDescent="0.3">
      <c r="B737" s="131"/>
    </row>
    <row r="738" spans="2:2" ht="14.25" customHeight="1" x14ac:dyDescent="0.3">
      <c r="B738" s="131"/>
    </row>
    <row r="739" spans="2:2" ht="14.25" customHeight="1" x14ac:dyDescent="0.3">
      <c r="B739" s="131"/>
    </row>
    <row r="740" spans="2:2" ht="14.25" customHeight="1" x14ac:dyDescent="0.3">
      <c r="B740" s="131"/>
    </row>
    <row r="741" spans="2:2" ht="14.25" customHeight="1" x14ac:dyDescent="0.3">
      <c r="B741" s="131"/>
    </row>
    <row r="742" spans="2:2" ht="14.25" customHeight="1" x14ac:dyDescent="0.3">
      <c r="B742" s="131"/>
    </row>
    <row r="743" spans="2:2" ht="14.25" customHeight="1" x14ac:dyDescent="0.3">
      <c r="B743" s="131"/>
    </row>
    <row r="744" spans="2:2" ht="14.25" customHeight="1" x14ac:dyDescent="0.3">
      <c r="B744" s="131"/>
    </row>
    <row r="745" spans="2:2" ht="14.25" customHeight="1" x14ac:dyDescent="0.3">
      <c r="B745" s="131"/>
    </row>
    <row r="746" spans="2:2" ht="14.25" customHeight="1" x14ac:dyDescent="0.3">
      <c r="B746" s="131"/>
    </row>
    <row r="747" spans="2:2" ht="14.25" customHeight="1" x14ac:dyDescent="0.3">
      <c r="B747" s="131"/>
    </row>
    <row r="748" spans="2:2" ht="14.25" customHeight="1" x14ac:dyDescent="0.3">
      <c r="B748" s="131"/>
    </row>
    <row r="749" spans="2:2" ht="14.25" customHeight="1" x14ac:dyDescent="0.3">
      <c r="B749" s="131"/>
    </row>
    <row r="750" spans="2:2" ht="14.25" customHeight="1" x14ac:dyDescent="0.3">
      <c r="B750" s="131"/>
    </row>
    <row r="751" spans="2:2" ht="14.25" customHeight="1" x14ac:dyDescent="0.3">
      <c r="B751" s="131"/>
    </row>
    <row r="752" spans="2:2" ht="14.25" customHeight="1" x14ac:dyDescent="0.3">
      <c r="B752" s="131"/>
    </row>
    <row r="753" spans="2:2" ht="14.25" customHeight="1" x14ac:dyDescent="0.3">
      <c r="B753" s="131"/>
    </row>
    <row r="754" spans="2:2" ht="14.25" customHeight="1" x14ac:dyDescent="0.3">
      <c r="B754" s="131"/>
    </row>
    <row r="755" spans="2:2" ht="14.25" customHeight="1" x14ac:dyDescent="0.3">
      <c r="B755" s="131"/>
    </row>
    <row r="756" spans="2:2" ht="14.25" customHeight="1" x14ac:dyDescent="0.3">
      <c r="B756" s="131"/>
    </row>
    <row r="757" spans="2:2" ht="14.25" customHeight="1" x14ac:dyDescent="0.3">
      <c r="B757" s="131"/>
    </row>
    <row r="758" spans="2:2" ht="14.25" customHeight="1" x14ac:dyDescent="0.3">
      <c r="B758" s="131"/>
    </row>
    <row r="759" spans="2:2" ht="14.25" customHeight="1" x14ac:dyDescent="0.3">
      <c r="B759" s="131"/>
    </row>
    <row r="760" spans="2:2" ht="14.25" customHeight="1" x14ac:dyDescent="0.3">
      <c r="B760" s="131"/>
    </row>
    <row r="761" spans="2:2" ht="14.25" customHeight="1" x14ac:dyDescent="0.3">
      <c r="B761" s="131"/>
    </row>
    <row r="762" spans="2:2" ht="14.25" customHeight="1" x14ac:dyDescent="0.3">
      <c r="B762" s="131"/>
    </row>
    <row r="763" spans="2:2" ht="14.25" customHeight="1" x14ac:dyDescent="0.3">
      <c r="B763" s="131"/>
    </row>
    <row r="764" spans="2:2" ht="14.25" customHeight="1" x14ac:dyDescent="0.3">
      <c r="B764" s="131"/>
    </row>
    <row r="765" spans="2:2" ht="14.25" customHeight="1" x14ac:dyDescent="0.3">
      <c r="B765" s="131"/>
    </row>
    <row r="766" spans="2:2" ht="14.25" customHeight="1" x14ac:dyDescent="0.3">
      <c r="B766" s="131"/>
    </row>
    <row r="767" spans="2:2" ht="14.25" customHeight="1" x14ac:dyDescent="0.3">
      <c r="B767" s="131"/>
    </row>
    <row r="768" spans="2:2" ht="14.25" customHeight="1" x14ac:dyDescent="0.3">
      <c r="B768" s="131"/>
    </row>
    <row r="769" spans="2:2" ht="14.25" customHeight="1" x14ac:dyDescent="0.3">
      <c r="B769" s="131"/>
    </row>
    <row r="770" spans="2:2" ht="14.25" customHeight="1" x14ac:dyDescent="0.3">
      <c r="B770" s="131"/>
    </row>
    <row r="771" spans="2:2" ht="14.25" customHeight="1" x14ac:dyDescent="0.3">
      <c r="B771" s="131"/>
    </row>
    <row r="772" spans="2:2" ht="14.25" customHeight="1" x14ac:dyDescent="0.3">
      <c r="B772" s="131"/>
    </row>
    <row r="773" spans="2:2" ht="14.25" customHeight="1" x14ac:dyDescent="0.3">
      <c r="B773" s="131"/>
    </row>
    <row r="774" spans="2:2" ht="14.25" customHeight="1" x14ac:dyDescent="0.3">
      <c r="B774" s="131"/>
    </row>
    <row r="775" spans="2:2" ht="14.25" customHeight="1" x14ac:dyDescent="0.3">
      <c r="B775" s="131"/>
    </row>
    <row r="776" spans="2:2" ht="14.25" customHeight="1" x14ac:dyDescent="0.3">
      <c r="B776" s="131"/>
    </row>
    <row r="777" spans="2:2" ht="14.25" customHeight="1" x14ac:dyDescent="0.3">
      <c r="B777" s="131"/>
    </row>
    <row r="778" spans="2:2" ht="14.25" customHeight="1" x14ac:dyDescent="0.3">
      <c r="B778" s="131"/>
    </row>
    <row r="779" spans="2:2" ht="14.25" customHeight="1" x14ac:dyDescent="0.3">
      <c r="B779" s="131"/>
    </row>
    <row r="780" spans="2:2" ht="14.25" customHeight="1" x14ac:dyDescent="0.3">
      <c r="B780" s="131"/>
    </row>
    <row r="781" spans="2:2" ht="14.25" customHeight="1" x14ac:dyDescent="0.3">
      <c r="B781" s="131"/>
    </row>
    <row r="782" spans="2:2" ht="14.25" customHeight="1" x14ac:dyDescent="0.3">
      <c r="B782" s="131"/>
    </row>
    <row r="783" spans="2:2" ht="14.25" customHeight="1" x14ac:dyDescent="0.3">
      <c r="B783" s="131"/>
    </row>
    <row r="784" spans="2:2" ht="14.25" customHeight="1" x14ac:dyDescent="0.3">
      <c r="B784" s="131"/>
    </row>
    <row r="785" spans="2:2" ht="14.25" customHeight="1" x14ac:dyDescent="0.3">
      <c r="B785" s="131"/>
    </row>
    <row r="786" spans="2:2" ht="14.25" customHeight="1" x14ac:dyDescent="0.3">
      <c r="B786" s="131"/>
    </row>
    <row r="787" spans="2:2" ht="14.25" customHeight="1" x14ac:dyDescent="0.3">
      <c r="B787" s="131"/>
    </row>
    <row r="788" spans="2:2" ht="14.25" customHeight="1" x14ac:dyDescent="0.3">
      <c r="B788" s="131"/>
    </row>
    <row r="789" spans="2:2" ht="14.25" customHeight="1" x14ac:dyDescent="0.3">
      <c r="B789" s="131"/>
    </row>
    <row r="790" spans="2:2" ht="14.25" customHeight="1" x14ac:dyDescent="0.3">
      <c r="B790" s="131"/>
    </row>
    <row r="791" spans="2:2" ht="14.25" customHeight="1" x14ac:dyDescent="0.3">
      <c r="B791" s="131"/>
    </row>
    <row r="792" spans="2:2" ht="14.25" customHeight="1" x14ac:dyDescent="0.3">
      <c r="B792" s="131"/>
    </row>
    <row r="793" spans="2:2" ht="14.25" customHeight="1" x14ac:dyDescent="0.3">
      <c r="B793" s="131"/>
    </row>
    <row r="794" spans="2:2" ht="14.25" customHeight="1" x14ac:dyDescent="0.3">
      <c r="B794" s="131"/>
    </row>
    <row r="795" spans="2:2" ht="14.25" customHeight="1" x14ac:dyDescent="0.3">
      <c r="B795" s="131"/>
    </row>
    <row r="796" spans="2:2" ht="14.25" customHeight="1" x14ac:dyDescent="0.3">
      <c r="B796" s="131"/>
    </row>
    <row r="797" spans="2:2" ht="14.25" customHeight="1" x14ac:dyDescent="0.3">
      <c r="B797" s="131"/>
    </row>
    <row r="798" spans="2:2" ht="14.25" customHeight="1" x14ac:dyDescent="0.3">
      <c r="B798" s="131"/>
    </row>
    <row r="799" spans="2:2" ht="14.25" customHeight="1" x14ac:dyDescent="0.3">
      <c r="B799" s="131"/>
    </row>
    <row r="800" spans="2:2" ht="14.25" customHeight="1" x14ac:dyDescent="0.3">
      <c r="B800" s="131"/>
    </row>
    <row r="801" spans="2:2" ht="14.25" customHeight="1" x14ac:dyDescent="0.3">
      <c r="B801" s="131"/>
    </row>
    <row r="802" spans="2:2" ht="14.25" customHeight="1" x14ac:dyDescent="0.3">
      <c r="B802" s="131"/>
    </row>
    <row r="803" spans="2:2" ht="14.25" customHeight="1" x14ac:dyDescent="0.3">
      <c r="B803" s="131"/>
    </row>
    <row r="804" spans="2:2" ht="14.25" customHeight="1" x14ac:dyDescent="0.3">
      <c r="B804" s="131"/>
    </row>
    <row r="805" spans="2:2" ht="14.25" customHeight="1" x14ac:dyDescent="0.3">
      <c r="B805" s="131"/>
    </row>
    <row r="806" spans="2:2" ht="14.25" customHeight="1" x14ac:dyDescent="0.3">
      <c r="B806" s="131"/>
    </row>
    <row r="807" spans="2:2" ht="14.25" customHeight="1" x14ac:dyDescent="0.3">
      <c r="B807" s="131"/>
    </row>
    <row r="808" spans="2:2" ht="14.25" customHeight="1" x14ac:dyDescent="0.3">
      <c r="B808" s="131"/>
    </row>
    <row r="809" spans="2:2" ht="14.25" customHeight="1" x14ac:dyDescent="0.3">
      <c r="B809" s="131"/>
    </row>
    <row r="810" spans="2:2" ht="14.25" customHeight="1" x14ac:dyDescent="0.3">
      <c r="B810" s="131"/>
    </row>
    <row r="811" spans="2:2" ht="14.25" customHeight="1" x14ac:dyDescent="0.3">
      <c r="B811" s="131"/>
    </row>
    <row r="812" spans="2:2" ht="14.25" customHeight="1" x14ac:dyDescent="0.3">
      <c r="B812" s="131"/>
    </row>
    <row r="813" spans="2:2" ht="14.25" customHeight="1" x14ac:dyDescent="0.3">
      <c r="B813" s="131"/>
    </row>
    <row r="814" spans="2:2" ht="14.25" customHeight="1" x14ac:dyDescent="0.3">
      <c r="B814" s="131"/>
    </row>
    <row r="815" spans="2:2" ht="14.25" customHeight="1" x14ac:dyDescent="0.3">
      <c r="B815" s="131"/>
    </row>
    <row r="816" spans="2:2" ht="14.25" customHeight="1" x14ac:dyDescent="0.3">
      <c r="B816" s="131"/>
    </row>
    <row r="817" spans="2:2" ht="14.25" customHeight="1" x14ac:dyDescent="0.3">
      <c r="B817" s="131"/>
    </row>
    <row r="818" spans="2:2" ht="14.25" customHeight="1" x14ac:dyDescent="0.3">
      <c r="B818" s="131"/>
    </row>
    <row r="819" spans="2:2" ht="14.25" customHeight="1" x14ac:dyDescent="0.3">
      <c r="B819" s="131"/>
    </row>
    <row r="820" spans="2:2" ht="14.25" customHeight="1" x14ac:dyDescent="0.3">
      <c r="B820" s="131"/>
    </row>
    <row r="821" spans="2:2" ht="14.25" customHeight="1" x14ac:dyDescent="0.3">
      <c r="B821" s="131"/>
    </row>
    <row r="822" spans="2:2" ht="14.25" customHeight="1" x14ac:dyDescent="0.3">
      <c r="B822" s="131"/>
    </row>
    <row r="823" spans="2:2" ht="14.25" customHeight="1" x14ac:dyDescent="0.3">
      <c r="B823" s="131"/>
    </row>
    <row r="824" spans="2:2" ht="14.25" customHeight="1" x14ac:dyDescent="0.3">
      <c r="B824" s="131"/>
    </row>
    <row r="825" spans="2:2" ht="14.25" customHeight="1" x14ac:dyDescent="0.3">
      <c r="B825" s="131"/>
    </row>
    <row r="826" spans="2:2" ht="14.25" customHeight="1" x14ac:dyDescent="0.3">
      <c r="B826" s="131"/>
    </row>
    <row r="827" spans="2:2" ht="14.25" customHeight="1" x14ac:dyDescent="0.3">
      <c r="B827" s="131"/>
    </row>
    <row r="828" spans="2:2" ht="14.25" customHeight="1" x14ac:dyDescent="0.3">
      <c r="B828" s="131"/>
    </row>
    <row r="829" spans="2:2" ht="14.25" customHeight="1" x14ac:dyDescent="0.3">
      <c r="B829" s="131"/>
    </row>
    <row r="830" spans="2:2" ht="14.25" customHeight="1" x14ac:dyDescent="0.3">
      <c r="B830" s="131"/>
    </row>
    <row r="831" spans="2:2" ht="14.25" customHeight="1" x14ac:dyDescent="0.3">
      <c r="B831" s="131"/>
    </row>
    <row r="832" spans="2:2" ht="14.25" customHeight="1" x14ac:dyDescent="0.3">
      <c r="B832" s="131"/>
    </row>
    <row r="833" spans="2:2" ht="14.25" customHeight="1" x14ac:dyDescent="0.3">
      <c r="B833" s="131"/>
    </row>
    <row r="834" spans="2:2" ht="14.25" customHeight="1" x14ac:dyDescent="0.3">
      <c r="B834" s="131"/>
    </row>
    <row r="835" spans="2:2" ht="14.25" customHeight="1" x14ac:dyDescent="0.3">
      <c r="B835" s="131"/>
    </row>
    <row r="836" spans="2:2" ht="14.25" customHeight="1" x14ac:dyDescent="0.3">
      <c r="B836" s="131"/>
    </row>
    <row r="837" spans="2:2" ht="14.25" customHeight="1" x14ac:dyDescent="0.3">
      <c r="B837" s="131"/>
    </row>
    <row r="838" spans="2:2" ht="14.25" customHeight="1" x14ac:dyDescent="0.3">
      <c r="B838" s="131"/>
    </row>
    <row r="839" spans="2:2" ht="14.25" customHeight="1" x14ac:dyDescent="0.3">
      <c r="B839" s="131"/>
    </row>
    <row r="840" spans="2:2" ht="14.25" customHeight="1" x14ac:dyDescent="0.3">
      <c r="B840" s="131"/>
    </row>
    <row r="841" spans="2:2" ht="14.25" customHeight="1" x14ac:dyDescent="0.3">
      <c r="B841" s="131"/>
    </row>
    <row r="842" spans="2:2" ht="14.25" customHeight="1" x14ac:dyDescent="0.3">
      <c r="B842" s="131"/>
    </row>
    <row r="843" spans="2:2" ht="14.25" customHeight="1" x14ac:dyDescent="0.3">
      <c r="B843" s="131"/>
    </row>
    <row r="844" spans="2:2" ht="14.25" customHeight="1" x14ac:dyDescent="0.3">
      <c r="B844" s="131"/>
    </row>
    <row r="845" spans="2:2" ht="14.25" customHeight="1" x14ac:dyDescent="0.3">
      <c r="B845" s="131"/>
    </row>
    <row r="846" spans="2:2" ht="14.25" customHeight="1" x14ac:dyDescent="0.3">
      <c r="B846" s="131"/>
    </row>
    <row r="847" spans="2:2" ht="14.25" customHeight="1" x14ac:dyDescent="0.3">
      <c r="B847" s="131"/>
    </row>
    <row r="848" spans="2:2" ht="14.25" customHeight="1" x14ac:dyDescent="0.3">
      <c r="B848" s="131"/>
    </row>
    <row r="849" spans="2:2" ht="14.25" customHeight="1" x14ac:dyDescent="0.3">
      <c r="B849" s="131"/>
    </row>
    <row r="850" spans="2:2" ht="14.25" customHeight="1" x14ac:dyDescent="0.3">
      <c r="B850" s="131"/>
    </row>
    <row r="851" spans="2:2" ht="14.25" customHeight="1" x14ac:dyDescent="0.3">
      <c r="B851" s="131"/>
    </row>
    <row r="852" spans="2:2" ht="14.25" customHeight="1" x14ac:dyDescent="0.3">
      <c r="B852" s="131"/>
    </row>
    <row r="853" spans="2:2" ht="14.25" customHeight="1" x14ac:dyDescent="0.3">
      <c r="B853" s="131"/>
    </row>
    <row r="854" spans="2:2" ht="14.25" customHeight="1" x14ac:dyDescent="0.3">
      <c r="B854" s="131"/>
    </row>
    <row r="855" spans="2:2" ht="14.25" customHeight="1" x14ac:dyDescent="0.3">
      <c r="B855" s="131"/>
    </row>
    <row r="856" spans="2:2" ht="14.25" customHeight="1" x14ac:dyDescent="0.3">
      <c r="B856" s="131"/>
    </row>
    <row r="857" spans="2:2" ht="14.25" customHeight="1" x14ac:dyDescent="0.3">
      <c r="B857" s="131"/>
    </row>
    <row r="858" spans="2:2" ht="14.25" customHeight="1" x14ac:dyDescent="0.3">
      <c r="B858" s="131"/>
    </row>
    <row r="859" spans="2:2" ht="14.25" customHeight="1" x14ac:dyDescent="0.3">
      <c r="B859" s="131"/>
    </row>
    <row r="860" spans="2:2" ht="14.25" customHeight="1" x14ac:dyDescent="0.3">
      <c r="B860" s="131"/>
    </row>
    <row r="861" spans="2:2" ht="14.25" customHeight="1" x14ac:dyDescent="0.3">
      <c r="B861" s="131"/>
    </row>
    <row r="862" spans="2:2" ht="14.25" customHeight="1" x14ac:dyDescent="0.3">
      <c r="B862" s="131"/>
    </row>
    <row r="863" spans="2:2" ht="14.25" customHeight="1" x14ac:dyDescent="0.3">
      <c r="B863" s="131"/>
    </row>
    <row r="864" spans="2:2" ht="14.25" customHeight="1" x14ac:dyDescent="0.3">
      <c r="B864" s="131"/>
    </row>
    <row r="865" spans="2:2" ht="14.25" customHeight="1" x14ac:dyDescent="0.3">
      <c r="B865" s="131"/>
    </row>
    <row r="866" spans="2:2" ht="14.25" customHeight="1" x14ac:dyDescent="0.3">
      <c r="B866" s="131"/>
    </row>
    <row r="867" spans="2:2" ht="14.25" customHeight="1" x14ac:dyDescent="0.3">
      <c r="B867" s="131"/>
    </row>
    <row r="868" spans="2:2" ht="14.25" customHeight="1" x14ac:dyDescent="0.3">
      <c r="B868" s="131"/>
    </row>
    <row r="869" spans="2:2" ht="14.25" customHeight="1" x14ac:dyDescent="0.3">
      <c r="B869" s="131"/>
    </row>
    <row r="870" spans="2:2" ht="14.25" customHeight="1" x14ac:dyDescent="0.3">
      <c r="B870" s="131"/>
    </row>
    <row r="871" spans="2:2" ht="14.25" customHeight="1" x14ac:dyDescent="0.3">
      <c r="B871" s="131"/>
    </row>
    <row r="872" spans="2:2" ht="14.25" customHeight="1" x14ac:dyDescent="0.3">
      <c r="B872" s="131"/>
    </row>
    <row r="873" spans="2:2" ht="14.25" customHeight="1" x14ac:dyDescent="0.3">
      <c r="B873" s="131"/>
    </row>
    <row r="874" spans="2:2" ht="14.25" customHeight="1" x14ac:dyDescent="0.3">
      <c r="B874" s="131"/>
    </row>
    <row r="875" spans="2:2" ht="14.25" customHeight="1" x14ac:dyDescent="0.3">
      <c r="B875" s="131"/>
    </row>
    <row r="876" spans="2:2" ht="14.25" customHeight="1" x14ac:dyDescent="0.3">
      <c r="B876" s="131"/>
    </row>
    <row r="877" spans="2:2" ht="14.25" customHeight="1" x14ac:dyDescent="0.3">
      <c r="B877" s="131"/>
    </row>
    <row r="878" spans="2:2" ht="14.25" customHeight="1" x14ac:dyDescent="0.3">
      <c r="B878" s="131"/>
    </row>
    <row r="879" spans="2:2" ht="14.25" customHeight="1" x14ac:dyDescent="0.3">
      <c r="B879" s="131"/>
    </row>
    <row r="880" spans="2:2" ht="14.25" customHeight="1" x14ac:dyDescent="0.3">
      <c r="B880" s="131"/>
    </row>
    <row r="881" spans="2:2" ht="14.25" customHeight="1" x14ac:dyDescent="0.3">
      <c r="B881" s="131"/>
    </row>
    <row r="882" spans="2:2" ht="14.25" customHeight="1" x14ac:dyDescent="0.3">
      <c r="B882" s="131"/>
    </row>
    <row r="883" spans="2:2" ht="14.25" customHeight="1" x14ac:dyDescent="0.3">
      <c r="B883" s="131"/>
    </row>
    <row r="884" spans="2:2" ht="14.25" customHeight="1" x14ac:dyDescent="0.3">
      <c r="B884" s="131"/>
    </row>
    <row r="885" spans="2:2" ht="14.25" customHeight="1" x14ac:dyDescent="0.3">
      <c r="B885" s="131"/>
    </row>
    <row r="886" spans="2:2" ht="14.25" customHeight="1" x14ac:dyDescent="0.3">
      <c r="B886" s="131"/>
    </row>
    <row r="887" spans="2:2" ht="14.25" customHeight="1" x14ac:dyDescent="0.3">
      <c r="B887" s="131"/>
    </row>
    <row r="888" spans="2:2" ht="14.25" customHeight="1" x14ac:dyDescent="0.3">
      <c r="B888" s="131"/>
    </row>
    <row r="889" spans="2:2" ht="14.25" customHeight="1" x14ac:dyDescent="0.3">
      <c r="B889" s="131"/>
    </row>
    <row r="890" spans="2:2" ht="14.25" customHeight="1" x14ac:dyDescent="0.3">
      <c r="B890" s="131"/>
    </row>
    <row r="891" spans="2:2" ht="14.25" customHeight="1" x14ac:dyDescent="0.3">
      <c r="B891" s="131"/>
    </row>
    <row r="892" spans="2:2" ht="14.25" customHeight="1" x14ac:dyDescent="0.3">
      <c r="B892" s="131"/>
    </row>
    <row r="893" spans="2:2" ht="14.25" customHeight="1" x14ac:dyDescent="0.3">
      <c r="B893" s="131"/>
    </row>
    <row r="894" spans="2:2" ht="14.25" customHeight="1" x14ac:dyDescent="0.3">
      <c r="B894" s="131"/>
    </row>
    <row r="895" spans="2:2" ht="14.25" customHeight="1" x14ac:dyDescent="0.3">
      <c r="B895" s="131"/>
    </row>
    <row r="896" spans="2:2" ht="14.25" customHeight="1" x14ac:dyDescent="0.3">
      <c r="B896" s="131"/>
    </row>
    <row r="897" spans="2:2" ht="14.25" customHeight="1" x14ac:dyDescent="0.3">
      <c r="B897" s="131"/>
    </row>
    <row r="898" spans="2:2" ht="14.25" customHeight="1" x14ac:dyDescent="0.3">
      <c r="B898" s="131"/>
    </row>
    <row r="899" spans="2:2" ht="14.25" customHeight="1" x14ac:dyDescent="0.3">
      <c r="B899" s="131"/>
    </row>
    <row r="900" spans="2:2" ht="14.25" customHeight="1" x14ac:dyDescent="0.3">
      <c r="B900" s="131"/>
    </row>
    <row r="901" spans="2:2" ht="14.25" customHeight="1" x14ac:dyDescent="0.3">
      <c r="B901" s="131"/>
    </row>
    <row r="902" spans="2:2" ht="14.25" customHeight="1" x14ac:dyDescent="0.3">
      <c r="B902" s="131"/>
    </row>
    <row r="903" spans="2:2" ht="14.25" customHeight="1" x14ac:dyDescent="0.3">
      <c r="B903" s="131"/>
    </row>
    <row r="904" spans="2:2" ht="14.25" customHeight="1" x14ac:dyDescent="0.3">
      <c r="B904" s="131"/>
    </row>
    <row r="905" spans="2:2" ht="14.25" customHeight="1" x14ac:dyDescent="0.3">
      <c r="B905" s="131"/>
    </row>
    <row r="906" spans="2:2" ht="14.25" customHeight="1" x14ac:dyDescent="0.3">
      <c r="B906" s="131"/>
    </row>
    <row r="907" spans="2:2" ht="14.25" customHeight="1" x14ac:dyDescent="0.3">
      <c r="B907" s="131"/>
    </row>
    <row r="908" spans="2:2" ht="14.25" customHeight="1" x14ac:dyDescent="0.3">
      <c r="B908" s="131"/>
    </row>
    <row r="909" spans="2:2" ht="14.25" customHeight="1" x14ac:dyDescent="0.3">
      <c r="B909" s="131"/>
    </row>
    <row r="910" spans="2:2" ht="14.25" customHeight="1" x14ac:dyDescent="0.3">
      <c r="B910" s="131"/>
    </row>
    <row r="911" spans="2:2" ht="14.25" customHeight="1" x14ac:dyDescent="0.3">
      <c r="B911" s="131"/>
    </row>
    <row r="912" spans="2:2" ht="14.25" customHeight="1" x14ac:dyDescent="0.3">
      <c r="B912" s="131"/>
    </row>
    <row r="913" spans="2:2" ht="14.25" customHeight="1" x14ac:dyDescent="0.3">
      <c r="B913" s="131"/>
    </row>
    <row r="914" spans="2:2" ht="14.25" customHeight="1" x14ac:dyDescent="0.3">
      <c r="B914" s="131"/>
    </row>
    <row r="915" spans="2:2" ht="14.25" customHeight="1" x14ac:dyDescent="0.3">
      <c r="B915" s="131"/>
    </row>
    <row r="916" spans="2:2" ht="14.25" customHeight="1" x14ac:dyDescent="0.3">
      <c r="B916" s="131"/>
    </row>
    <row r="917" spans="2:2" ht="14.25" customHeight="1" x14ac:dyDescent="0.3">
      <c r="B917" s="131"/>
    </row>
    <row r="918" spans="2:2" ht="14.25" customHeight="1" x14ac:dyDescent="0.3">
      <c r="B918" s="131"/>
    </row>
    <row r="919" spans="2:2" ht="14.25" customHeight="1" x14ac:dyDescent="0.3">
      <c r="B919" s="131"/>
    </row>
    <row r="920" spans="2:2" ht="14.25" customHeight="1" x14ac:dyDescent="0.3">
      <c r="B920" s="131"/>
    </row>
    <row r="921" spans="2:2" ht="14.25" customHeight="1" x14ac:dyDescent="0.3">
      <c r="B921" s="131"/>
    </row>
    <row r="922" spans="2:2" ht="14.25" customHeight="1" x14ac:dyDescent="0.3">
      <c r="B922" s="131"/>
    </row>
    <row r="923" spans="2:2" ht="14.25" customHeight="1" x14ac:dyDescent="0.3">
      <c r="B923" s="131"/>
    </row>
    <row r="924" spans="2:2" ht="14.25" customHeight="1" x14ac:dyDescent="0.3">
      <c r="B924" s="131"/>
    </row>
    <row r="925" spans="2:2" ht="14.25" customHeight="1" x14ac:dyDescent="0.3">
      <c r="B925" s="131"/>
    </row>
    <row r="926" spans="2:2" ht="14.25" customHeight="1" x14ac:dyDescent="0.3">
      <c r="B926" s="131"/>
    </row>
    <row r="927" spans="2:2" ht="14.25" customHeight="1" x14ac:dyDescent="0.3">
      <c r="B927" s="131"/>
    </row>
    <row r="928" spans="2:2" ht="14.25" customHeight="1" x14ac:dyDescent="0.3">
      <c r="B928" s="131"/>
    </row>
    <row r="929" spans="2:2" ht="14.25" customHeight="1" x14ac:dyDescent="0.3">
      <c r="B929" s="131"/>
    </row>
    <row r="930" spans="2:2" ht="14.25" customHeight="1" x14ac:dyDescent="0.3">
      <c r="B930" s="131"/>
    </row>
    <row r="931" spans="2:2" ht="14.25" customHeight="1" x14ac:dyDescent="0.3">
      <c r="B931" s="131"/>
    </row>
    <row r="932" spans="2:2" ht="14.25" customHeight="1" x14ac:dyDescent="0.3">
      <c r="B932" s="131"/>
    </row>
    <row r="933" spans="2:2" ht="14.25" customHeight="1" x14ac:dyDescent="0.3">
      <c r="B933" s="131"/>
    </row>
    <row r="934" spans="2:2" ht="14.25" customHeight="1" x14ac:dyDescent="0.3">
      <c r="B934" s="131"/>
    </row>
    <row r="935" spans="2:2" ht="14.25" customHeight="1" x14ac:dyDescent="0.3">
      <c r="B935" s="131"/>
    </row>
    <row r="936" spans="2:2" ht="14.25" customHeight="1" x14ac:dyDescent="0.3">
      <c r="B936" s="131"/>
    </row>
    <row r="937" spans="2:2" ht="14.25" customHeight="1" x14ac:dyDescent="0.3">
      <c r="B937" s="131"/>
    </row>
    <row r="938" spans="2:2" ht="14.25" customHeight="1" x14ac:dyDescent="0.3">
      <c r="B938" s="131"/>
    </row>
    <row r="939" spans="2:2" ht="14.25" customHeight="1" x14ac:dyDescent="0.3">
      <c r="B939" s="131"/>
    </row>
    <row r="940" spans="2:2" ht="14.25" customHeight="1" x14ac:dyDescent="0.3">
      <c r="B940" s="131"/>
    </row>
    <row r="941" spans="2:2" ht="14.25" customHeight="1" x14ac:dyDescent="0.3">
      <c r="B941" s="131"/>
    </row>
    <row r="942" spans="2:2" ht="14.25" customHeight="1" x14ac:dyDescent="0.3">
      <c r="B942" s="131"/>
    </row>
    <row r="943" spans="2:2" ht="14.25" customHeight="1" x14ac:dyDescent="0.3">
      <c r="B943" s="131"/>
    </row>
    <row r="944" spans="2:2" ht="14.25" customHeight="1" x14ac:dyDescent="0.3">
      <c r="B944" s="131"/>
    </row>
    <row r="945" spans="2:2" ht="14.25" customHeight="1" x14ac:dyDescent="0.3">
      <c r="B945" s="131"/>
    </row>
    <row r="946" spans="2:2" ht="14.25" customHeight="1" x14ac:dyDescent="0.3">
      <c r="B946" s="131"/>
    </row>
    <row r="947" spans="2:2" ht="14.25" customHeight="1" x14ac:dyDescent="0.3">
      <c r="B947" s="131"/>
    </row>
    <row r="948" spans="2:2" ht="14.25" customHeight="1" x14ac:dyDescent="0.3">
      <c r="B948" s="131"/>
    </row>
    <row r="949" spans="2:2" ht="14.25" customHeight="1" x14ac:dyDescent="0.3">
      <c r="B949" s="131"/>
    </row>
    <row r="950" spans="2:2" ht="14.25" customHeight="1" x14ac:dyDescent="0.3">
      <c r="B950" s="131"/>
    </row>
    <row r="951" spans="2:2" ht="14.25" customHeight="1" x14ac:dyDescent="0.3">
      <c r="B951" s="131"/>
    </row>
    <row r="952" spans="2:2" ht="14.25" customHeight="1" x14ac:dyDescent="0.3">
      <c r="B952" s="131"/>
    </row>
    <row r="953" spans="2:2" ht="14.25" customHeight="1" x14ac:dyDescent="0.3">
      <c r="B953" s="131"/>
    </row>
    <row r="954" spans="2:2" ht="14.25" customHeight="1" x14ac:dyDescent="0.3">
      <c r="B954" s="131"/>
    </row>
    <row r="955" spans="2:2" ht="14.25" customHeight="1" x14ac:dyDescent="0.3">
      <c r="B955" s="131"/>
    </row>
    <row r="956" spans="2:2" ht="14.25" customHeight="1" x14ac:dyDescent="0.3">
      <c r="B956" s="131"/>
    </row>
    <row r="957" spans="2:2" ht="14.25" customHeight="1" x14ac:dyDescent="0.3">
      <c r="B957" s="131"/>
    </row>
    <row r="958" spans="2:2" ht="14.25" customHeight="1" x14ac:dyDescent="0.3">
      <c r="B958" s="131"/>
    </row>
    <row r="959" spans="2:2" ht="14.25" customHeight="1" x14ac:dyDescent="0.3">
      <c r="B959" s="131"/>
    </row>
    <row r="960" spans="2:2" ht="14.25" customHeight="1" x14ac:dyDescent="0.3">
      <c r="B960" s="131"/>
    </row>
    <row r="961" spans="2:2" ht="14.25" customHeight="1" x14ac:dyDescent="0.3">
      <c r="B961" s="131"/>
    </row>
    <row r="962" spans="2:2" ht="14.25" customHeight="1" x14ac:dyDescent="0.3">
      <c r="B962" s="131"/>
    </row>
    <row r="963" spans="2:2" ht="14.25" customHeight="1" x14ac:dyDescent="0.3">
      <c r="B963" s="131"/>
    </row>
    <row r="964" spans="2:2" ht="14.25" customHeight="1" x14ac:dyDescent="0.3">
      <c r="B964" s="131"/>
    </row>
    <row r="965" spans="2:2" ht="14.25" customHeight="1" x14ac:dyDescent="0.3">
      <c r="B965" s="131"/>
    </row>
    <row r="966" spans="2:2" ht="14.25" customHeight="1" x14ac:dyDescent="0.3">
      <c r="B966" s="131"/>
    </row>
    <row r="967" spans="2:2" ht="14.25" customHeight="1" x14ac:dyDescent="0.3">
      <c r="B967" s="131"/>
    </row>
    <row r="968" spans="2:2" ht="14.25" customHeight="1" x14ac:dyDescent="0.3">
      <c r="B968" s="131"/>
    </row>
    <row r="969" spans="2:2" ht="14.25" customHeight="1" x14ac:dyDescent="0.3">
      <c r="B969" s="131"/>
    </row>
    <row r="970" spans="2:2" ht="14.25" customHeight="1" x14ac:dyDescent="0.3">
      <c r="B970" s="131"/>
    </row>
    <row r="971" spans="2:2" ht="14.25" customHeight="1" x14ac:dyDescent="0.3">
      <c r="B971" s="131"/>
    </row>
    <row r="972" spans="2:2" ht="14.25" customHeight="1" x14ac:dyDescent="0.3">
      <c r="B972" s="131"/>
    </row>
    <row r="973" spans="2:2" ht="14.25" customHeight="1" x14ac:dyDescent="0.3">
      <c r="B973" s="131"/>
    </row>
    <row r="974" spans="2:2" ht="14.25" customHeight="1" x14ac:dyDescent="0.3">
      <c r="B974" s="131"/>
    </row>
    <row r="975" spans="2:2" ht="14.25" customHeight="1" x14ac:dyDescent="0.3">
      <c r="B975" s="131"/>
    </row>
    <row r="976" spans="2:2" ht="14.25" customHeight="1" x14ac:dyDescent="0.3">
      <c r="B976" s="131"/>
    </row>
    <row r="977" spans="2:2" ht="14.25" customHeight="1" x14ac:dyDescent="0.3">
      <c r="B977" s="131"/>
    </row>
    <row r="978" spans="2:2" ht="14.25" customHeight="1" x14ac:dyDescent="0.3">
      <c r="B978" s="131"/>
    </row>
    <row r="979" spans="2:2" ht="14.25" customHeight="1" x14ac:dyDescent="0.3">
      <c r="B979" s="131"/>
    </row>
    <row r="980" spans="2:2" ht="14.25" customHeight="1" x14ac:dyDescent="0.3">
      <c r="B980" s="131"/>
    </row>
    <row r="981" spans="2:2" ht="14.25" customHeight="1" x14ac:dyDescent="0.3">
      <c r="B981" s="131"/>
    </row>
    <row r="982" spans="2:2" ht="14.25" customHeight="1" x14ac:dyDescent="0.3">
      <c r="B982" s="131"/>
    </row>
    <row r="983" spans="2:2" ht="14.25" customHeight="1" x14ac:dyDescent="0.3">
      <c r="B983" s="131"/>
    </row>
    <row r="984" spans="2:2" ht="14.25" customHeight="1" x14ac:dyDescent="0.3">
      <c r="B984" s="131"/>
    </row>
    <row r="985" spans="2:2" ht="14.25" customHeight="1" x14ac:dyDescent="0.3">
      <c r="B985" s="131"/>
    </row>
    <row r="986" spans="2:2" ht="14.25" customHeight="1" x14ac:dyDescent="0.3">
      <c r="B986" s="131"/>
    </row>
    <row r="987" spans="2:2" ht="14.25" customHeight="1" x14ac:dyDescent="0.3">
      <c r="B987" s="131"/>
    </row>
    <row r="988" spans="2:2" ht="14.25" customHeight="1" x14ac:dyDescent="0.3">
      <c r="B988" s="131"/>
    </row>
    <row r="989" spans="2:2" ht="14.25" customHeight="1" x14ac:dyDescent="0.3">
      <c r="B989" s="131"/>
    </row>
    <row r="990" spans="2:2" ht="14.25" customHeight="1" x14ac:dyDescent="0.3">
      <c r="B990" s="131"/>
    </row>
    <row r="991" spans="2:2" ht="14.25" customHeight="1" x14ac:dyDescent="0.3">
      <c r="B991" s="131"/>
    </row>
    <row r="992" spans="2:2" ht="14.25" customHeight="1" x14ac:dyDescent="0.3">
      <c r="B992" s="131"/>
    </row>
    <row r="993" spans="2:2" ht="14.25" customHeight="1" x14ac:dyDescent="0.3">
      <c r="B993" s="131"/>
    </row>
    <row r="994" spans="2:2" ht="14.25" customHeight="1" x14ac:dyDescent="0.3">
      <c r="B994" s="131"/>
    </row>
    <row r="995" spans="2:2" ht="14.25" customHeight="1" x14ac:dyDescent="0.3">
      <c r="B995" s="131"/>
    </row>
    <row r="996" spans="2:2" ht="14.25" customHeight="1" x14ac:dyDescent="0.3">
      <c r="B996" s="131"/>
    </row>
    <row r="997" spans="2:2" ht="14.25" customHeight="1" x14ac:dyDescent="0.3">
      <c r="B997" s="131"/>
    </row>
    <row r="998" spans="2:2" ht="14.25" customHeight="1" x14ac:dyDescent="0.3">
      <c r="B998" s="131"/>
    </row>
    <row r="999" spans="2:2" ht="14.25" customHeight="1" x14ac:dyDescent="0.3">
      <c r="B999" s="131"/>
    </row>
    <row r="1000" spans="2:2" ht="14.25" customHeight="1" x14ac:dyDescent="0.3">
      <c r="B1000" s="13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</vt:lpstr>
      <vt:lpstr>P&amp;L rev</vt:lpstr>
      <vt:lpstr>KQKD_pa1</vt:lpstr>
      <vt:lpstr>CĐKT_pa1</vt:lpstr>
      <vt:lpstr>LCTT_pa1</vt:lpstr>
      <vt:lpstr>Sheet2</vt:lpstr>
      <vt:lpstr>Target_Vong_Quay</vt:lpstr>
      <vt:lpstr>NHU CẦU VLĐ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Huu Dang</cp:lastModifiedBy>
  <dcterms:created xsi:type="dcterms:W3CDTF">2023-11-16T10:01:09Z</dcterms:created>
  <dcterms:modified xsi:type="dcterms:W3CDTF">2026-10-07T10:10:31Z</dcterms:modified>
</cp:coreProperties>
</file>